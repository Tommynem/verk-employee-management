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bda21ca54e6c56/Desktop/PC alt/Uli Privat/Uli/Fortschritt ab 01.04.2024/Zeiterfssung ab 01.07.2025/"/>
    </mc:Choice>
  </mc:AlternateContent>
  <xr:revisionPtr revIDLastSave="413" documentId="8_{AEA625EB-5AC1-8041-AA79-3984B1A1998B}" xr6:coauthVersionLast="47" xr6:coauthVersionMax="47" xr10:uidLastSave="{25562E26-0699-4554-A188-8F10754B49CE}"/>
  <bookViews>
    <workbookView xWindow="-108" yWindow="-108" windowWidth="23256" windowHeight="13896" activeTab="5" xr2:uid="{411DF672-5F32-F148-A53F-5FB654AB3191}"/>
  </bookViews>
  <sheets>
    <sheet name="Juli" sheetId="1" r:id="rId1"/>
    <sheet name="August" sheetId="3" r:id="rId2"/>
    <sheet name="September" sheetId="8" r:id="rId3"/>
    <sheet name="Oktober" sheetId="9" r:id="rId4"/>
    <sheet name="November" sheetId="10" r:id="rId5"/>
    <sheet name="Dezember" sheetId="11" r:id="rId6"/>
  </sheets>
  <definedNames>
    <definedName name="_xlnm.Print_Area" localSheetId="1">August!$A$1:$R$44</definedName>
    <definedName name="_xlnm.Print_Area" localSheetId="5">Dezember!$A$1:$R$44</definedName>
    <definedName name="_xlnm.Print_Area" localSheetId="0">Juli!$A$1:$R$43</definedName>
    <definedName name="_xlnm.Print_Area" localSheetId="4">November!$A$1:$R$44</definedName>
    <definedName name="_xlnm.Print_Area" localSheetId="3">Oktober!$A$1:$R$44</definedName>
    <definedName name="_xlnm.Print_Area" localSheetId="2">September!$A$1:$R$43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N10" i="1" s="1"/>
  <c r="K39" i="11"/>
  <c r="H39" i="11"/>
  <c r="N39" i="11" s="1"/>
  <c r="K38" i="11"/>
  <c r="H38" i="11"/>
  <c r="N38" i="11" s="1"/>
  <c r="K37" i="11"/>
  <c r="H37" i="11"/>
  <c r="N37" i="11" s="1"/>
  <c r="N36" i="11"/>
  <c r="N35" i="11"/>
  <c r="K34" i="11"/>
  <c r="H34" i="11"/>
  <c r="K33" i="11"/>
  <c r="H33" i="11"/>
  <c r="K32" i="11"/>
  <c r="H32" i="11"/>
  <c r="K31" i="11"/>
  <c r="H31" i="11"/>
  <c r="K30" i="11"/>
  <c r="H30" i="11"/>
  <c r="N29" i="11"/>
  <c r="N28" i="11"/>
  <c r="K27" i="11"/>
  <c r="H27" i="11"/>
  <c r="K26" i="11"/>
  <c r="H26" i="11"/>
  <c r="K25" i="11"/>
  <c r="H25" i="11"/>
  <c r="K24" i="11"/>
  <c r="H24" i="11"/>
  <c r="K23" i="11"/>
  <c r="H23" i="11"/>
  <c r="N22" i="11"/>
  <c r="N21" i="11"/>
  <c r="K20" i="11"/>
  <c r="H20" i="11"/>
  <c r="K19" i="11"/>
  <c r="H19" i="11"/>
  <c r="K18" i="11"/>
  <c r="H18" i="11"/>
  <c r="K17" i="11"/>
  <c r="H17" i="11"/>
  <c r="K16" i="11"/>
  <c r="H16" i="11"/>
  <c r="N15" i="11"/>
  <c r="N14" i="11"/>
  <c r="K13" i="11"/>
  <c r="H13" i="11"/>
  <c r="N13" i="11" s="1"/>
  <c r="K12" i="11"/>
  <c r="H12" i="11"/>
  <c r="N12" i="11" s="1"/>
  <c r="K11" i="11"/>
  <c r="H11" i="11"/>
  <c r="N11" i="11" s="1"/>
  <c r="K10" i="11"/>
  <c r="H10" i="11"/>
  <c r="N10" i="11" s="1"/>
  <c r="K9" i="11"/>
  <c r="H9" i="11"/>
  <c r="N38" i="10"/>
  <c r="N37" i="10"/>
  <c r="K36" i="10"/>
  <c r="H36" i="10"/>
  <c r="N36" i="10" s="1"/>
  <c r="K35" i="10"/>
  <c r="H35" i="10"/>
  <c r="N35" i="10" s="1"/>
  <c r="K34" i="10"/>
  <c r="H34" i="10"/>
  <c r="N34" i="10" s="1"/>
  <c r="K33" i="10"/>
  <c r="H33" i="10"/>
  <c r="K32" i="10"/>
  <c r="H32" i="10"/>
  <c r="N32" i="10" s="1"/>
  <c r="N31" i="10"/>
  <c r="N30" i="10"/>
  <c r="K29" i="10"/>
  <c r="H29" i="10"/>
  <c r="N29" i="10" s="1"/>
  <c r="K28" i="10"/>
  <c r="H28" i="10"/>
  <c r="K27" i="10"/>
  <c r="H27" i="10"/>
  <c r="K26" i="10"/>
  <c r="H26" i="10"/>
  <c r="K25" i="10"/>
  <c r="H25" i="10"/>
  <c r="K22" i="10"/>
  <c r="H22" i="10"/>
  <c r="K21" i="10"/>
  <c r="H21" i="10"/>
  <c r="N21" i="10" s="1"/>
  <c r="K20" i="10"/>
  <c r="H20" i="10"/>
  <c r="K19" i="10"/>
  <c r="H19" i="10"/>
  <c r="N19" i="10" s="1"/>
  <c r="K18" i="10"/>
  <c r="H18" i="10"/>
  <c r="N17" i="10"/>
  <c r="K15" i="10"/>
  <c r="H15" i="10"/>
  <c r="K14" i="10"/>
  <c r="H14" i="10"/>
  <c r="K13" i="10"/>
  <c r="H13" i="10"/>
  <c r="K12" i="10"/>
  <c r="H12" i="10"/>
  <c r="K11" i="10"/>
  <c r="H11" i="10"/>
  <c r="N10" i="10"/>
  <c r="K39" i="9"/>
  <c r="H39" i="9"/>
  <c r="K38" i="9"/>
  <c r="H38" i="9"/>
  <c r="K37" i="9"/>
  <c r="H37" i="9"/>
  <c r="K36" i="9"/>
  <c r="H36" i="9"/>
  <c r="K35" i="9"/>
  <c r="H35" i="9"/>
  <c r="N34" i="9"/>
  <c r="N33" i="9"/>
  <c r="K32" i="9"/>
  <c r="H32" i="9"/>
  <c r="K31" i="9"/>
  <c r="H31" i="9"/>
  <c r="K30" i="9"/>
  <c r="H30" i="9"/>
  <c r="K29" i="9"/>
  <c r="H29" i="9"/>
  <c r="N29" i="9" s="1"/>
  <c r="K28" i="9"/>
  <c r="H28" i="9"/>
  <c r="N28" i="9" s="1"/>
  <c r="K25" i="9"/>
  <c r="H25" i="9"/>
  <c r="K24" i="9"/>
  <c r="H24" i="9"/>
  <c r="K23" i="9"/>
  <c r="H23" i="9"/>
  <c r="K22" i="9"/>
  <c r="H22" i="9"/>
  <c r="N22" i="9" s="1"/>
  <c r="K21" i="9"/>
  <c r="H21" i="9"/>
  <c r="N21" i="9" s="1"/>
  <c r="N19" i="9"/>
  <c r="K18" i="9"/>
  <c r="H18" i="9"/>
  <c r="K17" i="9"/>
  <c r="H17" i="9"/>
  <c r="K16" i="9"/>
  <c r="H16" i="9"/>
  <c r="K15" i="9"/>
  <c r="H15" i="9"/>
  <c r="K14" i="9"/>
  <c r="H14" i="9"/>
  <c r="K11" i="9"/>
  <c r="H11" i="9"/>
  <c r="K10" i="9"/>
  <c r="H10" i="9"/>
  <c r="K9" i="9"/>
  <c r="H9" i="9"/>
  <c r="K38" i="8"/>
  <c r="H38" i="8"/>
  <c r="K37" i="8"/>
  <c r="H37" i="8"/>
  <c r="K34" i="8"/>
  <c r="H34" i="8"/>
  <c r="K33" i="8"/>
  <c r="H33" i="8"/>
  <c r="K32" i="8"/>
  <c r="H32" i="8"/>
  <c r="K31" i="8"/>
  <c r="H31" i="8"/>
  <c r="K30" i="8"/>
  <c r="H30" i="8"/>
  <c r="N28" i="8"/>
  <c r="K27" i="8"/>
  <c r="H27" i="8"/>
  <c r="N27" i="8" s="1"/>
  <c r="K26" i="8"/>
  <c r="H26" i="8"/>
  <c r="N26" i="8" s="1"/>
  <c r="K25" i="8"/>
  <c r="H25" i="8"/>
  <c r="N25" i="8" s="1"/>
  <c r="K24" i="8"/>
  <c r="H24" i="8"/>
  <c r="K23" i="8"/>
  <c r="H23" i="8"/>
  <c r="N22" i="8"/>
  <c r="N21" i="8"/>
  <c r="K20" i="8"/>
  <c r="H20" i="8"/>
  <c r="N20" i="8" s="1"/>
  <c r="K19" i="8"/>
  <c r="H19" i="8"/>
  <c r="N19" i="8" s="1"/>
  <c r="K18" i="8"/>
  <c r="H18" i="8"/>
  <c r="K17" i="8"/>
  <c r="H17" i="8"/>
  <c r="K16" i="8"/>
  <c r="H16" i="8"/>
  <c r="N16" i="8" s="1"/>
  <c r="N15" i="8"/>
  <c r="N14" i="8"/>
  <c r="K13" i="8"/>
  <c r="H13" i="8"/>
  <c r="N13" i="8" s="1"/>
  <c r="K12" i="8"/>
  <c r="H12" i="8"/>
  <c r="K11" i="8"/>
  <c r="H11" i="8"/>
  <c r="K10" i="8"/>
  <c r="H10" i="8"/>
  <c r="N10" i="8" s="1"/>
  <c r="K9" i="8"/>
  <c r="H9" i="8"/>
  <c r="N11" i="3"/>
  <c r="N24" i="3"/>
  <c r="N31" i="3"/>
  <c r="N39" i="3"/>
  <c r="H16" i="1"/>
  <c r="N16" i="1" s="1"/>
  <c r="N17" i="3"/>
  <c r="N13" i="1"/>
  <c r="N14" i="1"/>
  <c r="N20" i="1"/>
  <c r="N21" i="1"/>
  <c r="N27" i="1"/>
  <c r="N28" i="1"/>
  <c r="N34" i="1"/>
  <c r="N35" i="1"/>
  <c r="K37" i="3"/>
  <c r="H37" i="3"/>
  <c r="K36" i="3"/>
  <c r="H36" i="3"/>
  <c r="K35" i="3"/>
  <c r="H35" i="3"/>
  <c r="K34" i="3"/>
  <c r="H34" i="3"/>
  <c r="K33" i="3"/>
  <c r="H33" i="3"/>
  <c r="N32" i="3"/>
  <c r="K30" i="3"/>
  <c r="H30" i="3"/>
  <c r="K29" i="3"/>
  <c r="H29" i="3"/>
  <c r="N29" i="3" s="1"/>
  <c r="K28" i="3"/>
  <c r="H28" i="3"/>
  <c r="N28" i="3" s="1"/>
  <c r="K27" i="3"/>
  <c r="H27" i="3"/>
  <c r="N27" i="3" s="1"/>
  <c r="K26" i="3"/>
  <c r="H26" i="3"/>
  <c r="N26" i="3" s="1"/>
  <c r="K23" i="3"/>
  <c r="H23" i="3"/>
  <c r="N23" i="3" s="1"/>
  <c r="K22" i="3"/>
  <c r="H22" i="3"/>
  <c r="N22" i="3" s="1"/>
  <c r="K21" i="3"/>
  <c r="H21" i="3"/>
  <c r="N21" i="3" s="1"/>
  <c r="K20" i="3"/>
  <c r="H20" i="3"/>
  <c r="N20" i="3" s="1"/>
  <c r="K19" i="3"/>
  <c r="H19" i="3"/>
  <c r="N19" i="3" s="1"/>
  <c r="N18" i="3"/>
  <c r="K16" i="3"/>
  <c r="H16" i="3"/>
  <c r="K15" i="3"/>
  <c r="H15" i="3"/>
  <c r="N15" i="3" s="1"/>
  <c r="K14" i="3"/>
  <c r="H14" i="3"/>
  <c r="K13" i="3"/>
  <c r="H13" i="3"/>
  <c r="K12" i="3"/>
  <c r="H12" i="3"/>
  <c r="K9" i="3"/>
  <c r="H9" i="3"/>
  <c r="H11" i="1"/>
  <c r="N11" i="1" s="1"/>
  <c r="H15" i="1"/>
  <c r="H18" i="1"/>
  <c r="N18" i="1" s="1"/>
  <c r="H19" i="1"/>
  <c r="H22" i="1"/>
  <c r="N22" i="1" s="1"/>
  <c r="H23" i="1"/>
  <c r="H24" i="1"/>
  <c r="N24" i="1" s="1"/>
  <c r="H25" i="1"/>
  <c r="H26" i="1"/>
  <c r="N26" i="1" s="1"/>
  <c r="H29" i="1"/>
  <c r="H30" i="1"/>
  <c r="N30" i="1" s="1"/>
  <c r="H31" i="1"/>
  <c r="H32" i="1"/>
  <c r="N32" i="1" s="1"/>
  <c r="H33" i="1"/>
  <c r="H36" i="1"/>
  <c r="N36" i="1" s="1"/>
  <c r="H37" i="1"/>
  <c r="H38" i="1"/>
  <c r="N38" i="1" s="1"/>
  <c r="H39" i="1"/>
  <c r="K11" i="1"/>
  <c r="K12" i="1"/>
  <c r="H12" i="1" s="1"/>
  <c r="N12" i="1" s="1"/>
  <c r="K15" i="1"/>
  <c r="K16" i="1"/>
  <c r="K17" i="1"/>
  <c r="H17" i="1" s="1"/>
  <c r="N17" i="1" s="1"/>
  <c r="K18" i="1"/>
  <c r="K19" i="1"/>
  <c r="K22" i="1"/>
  <c r="K23" i="1"/>
  <c r="K24" i="1"/>
  <c r="K25" i="1"/>
  <c r="K26" i="1"/>
  <c r="K29" i="1"/>
  <c r="K30" i="1"/>
  <c r="K31" i="1"/>
  <c r="K32" i="1"/>
  <c r="K33" i="1"/>
  <c r="K36" i="1"/>
  <c r="K37" i="1"/>
  <c r="K38" i="1"/>
  <c r="K39" i="1"/>
  <c r="H9" i="1"/>
  <c r="N9" i="1" s="1"/>
  <c r="K9" i="1"/>
  <c r="N33" i="3" l="1"/>
  <c r="N39" i="1"/>
  <c r="N33" i="1"/>
  <c r="N29" i="1"/>
  <c r="N23" i="1"/>
  <c r="N9" i="3"/>
  <c r="N13" i="3"/>
  <c r="N30" i="3"/>
  <c r="N34" i="3"/>
  <c r="N36" i="3"/>
  <c r="N31" i="8"/>
  <c r="N33" i="8"/>
  <c r="N37" i="8"/>
  <c r="N9" i="9"/>
  <c r="N17" i="9"/>
  <c r="N18" i="11"/>
  <c r="N20" i="11"/>
  <c r="N25" i="11"/>
  <c r="N27" i="11"/>
  <c r="N30" i="11"/>
  <c r="N34" i="11"/>
  <c r="N15" i="1"/>
  <c r="N37" i="1"/>
  <c r="N31" i="1"/>
  <c r="N25" i="1"/>
  <c r="N19" i="1"/>
  <c r="N12" i="3"/>
  <c r="N14" i="3"/>
  <c r="N16" i="3"/>
  <c r="N35" i="3"/>
  <c r="N37" i="3"/>
  <c r="N32" i="8"/>
  <c r="N34" i="8"/>
  <c r="N38" i="8"/>
  <c r="N10" i="9"/>
  <c r="N16" i="9"/>
  <c r="N31" i="9"/>
  <c r="N11" i="10"/>
  <c r="N13" i="10"/>
  <c r="N15" i="10"/>
  <c r="N17" i="11"/>
  <c r="N19" i="11"/>
  <c r="N26" i="11"/>
  <c r="N31" i="11"/>
  <c r="N33" i="11"/>
  <c r="N16" i="11"/>
  <c r="N32" i="11"/>
  <c r="N23" i="11"/>
  <c r="N24" i="11"/>
  <c r="K40" i="11"/>
  <c r="H40" i="11"/>
  <c r="N9" i="11"/>
  <c r="N16" i="10"/>
  <c r="N22" i="10"/>
  <c r="N28" i="10"/>
  <c r="N23" i="10"/>
  <c r="N12" i="10"/>
  <c r="N18" i="10"/>
  <c r="N24" i="10"/>
  <c r="N25" i="10"/>
  <c r="N14" i="10"/>
  <c r="N20" i="10"/>
  <c r="N26" i="10"/>
  <c r="N27" i="10"/>
  <c r="N33" i="10"/>
  <c r="H40" i="10"/>
  <c r="K40" i="10"/>
  <c r="N23" i="9"/>
  <c r="N35" i="9"/>
  <c r="N12" i="9"/>
  <c r="N18" i="9"/>
  <c r="N24" i="9"/>
  <c r="N30" i="9"/>
  <c r="N36" i="9"/>
  <c r="N11" i="9"/>
  <c r="N13" i="9"/>
  <c r="N25" i="9"/>
  <c r="N37" i="9"/>
  <c r="N14" i="9"/>
  <c r="N20" i="9"/>
  <c r="N26" i="9"/>
  <c r="N32" i="9"/>
  <c r="N38" i="9"/>
  <c r="N15" i="9"/>
  <c r="N27" i="9"/>
  <c r="N39" i="9"/>
  <c r="K40" i="9"/>
  <c r="H40" i="8"/>
  <c r="N11" i="8"/>
  <c r="N17" i="8"/>
  <c r="N23" i="8"/>
  <c r="N29" i="8"/>
  <c r="N35" i="8"/>
  <c r="N12" i="8"/>
  <c r="N18" i="8"/>
  <c r="N24" i="8"/>
  <c r="N30" i="8"/>
  <c r="N36" i="8"/>
  <c r="K40" i="8"/>
  <c r="N9" i="10"/>
  <c r="H40" i="9"/>
  <c r="N9" i="8"/>
  <c r="N10" i="3"/>
  <c r="N25" i="3"/>
  <c r="K40" i="3"/>
  <c r="H40" i="3"/>
  <c r="K40" i="1"/>
  <c r="H40" i="1"/>
  <c r="H42" i="11" l="1"/>
  <c r="H42" i="10"/>
  <c r="H42" i="9"/>
  <c r="H42" i="8"/>
  <c r="H42" i="3"/>
  <c r="H42" i="1"/>
</calcChain>
</file>

<file path=xl/sharedStrings.xml><?xml version="1.0" encoding="utf-8"?>
<sst xmlns="http://schemas.openxmlformats.org/spreadsheetml/2006/main" count="264" uniqueCount="64">
  <si>
    <t xml:space="preserve">Name, Vorname: </t>
  </si>
  <si>
    <t>Sollstunden pro Woche:</t>
  </si>
  <si>
    <t>Tag</t>
  </si>
  <si>
    <t>Ankunft</t>
  </si>
  <si>
    <t>Ende</t>
  </si>
  <si>
    <t>Pausen</t>
  </si>
  <si>
    <t>Arbeitsstunden Real</t>
  </si>
  <si>
    <t>Arbeitsstunden Soll</t>
  </si>
  <si>
    <t>Abwesenheit / Bemerkung</t>
  </si>
  <si>
    <t>Mo</t>
  </si>
  <si>
    <t>Di</t>
  </si>
  <si>
    <t>Mi</t>
  </si>
  <si>
    <t>Do</t>
  </si>
  <si>
    <t>Fr</t>
  </si>
  <si>
    <t>Regelzeitplan</t>
  </si>
  <si>
    <t>Wochenende</t>
  </si>
  <si>
    <t>Übertrag Vormonat:</t>
  </si>
  <si>
    <t>Günther, Ulrike</t>
  </si>
  <si>
    <t>"+/-"</t>
  </si>
  <si>
    <t>Urlaub?</t>
  </si>
  <si>
    <t>Monatssaldo:</t>
  </si>
  <si>
    <t>Aktuelles Zeitkonto:</t>
  </si>
  <si>
    <t>Zeiterfassung - Juli</t>
  </si>
  <si>
    <t>Zeitausgleich</t>
  </si>
  <si>
    <t>Krank</t>
  </si>
  <si>
    <t>Physio</t>
  </si>
  <si>
    <t>Physio + Arzt</t>
  </si>
  <si>
    <t>Oktober</t>
  </si>
  <si>
    <t>Zeiterfassung - August</t>
  </si>
  <si>
    <t>Zeiterfassung - September</t>
  </si>
  <si>
    <t>Zeiterfassung - Oktober</t>
  </si>
  <si>
    <t>Zeiterfassung - November</t>
  </si>
  <si>
    <t>Zeiterfassung - Dezember</t>
  </si>
  <si>
    <t>Dezember</t>
  </si>
  <si>
    <t>Physio ohne Mittag</t>
  </si>
  <si>
    <t>Dresden Wasserschaden</t>
  </si>
  <si>
    <t>Arzt + Physio, Freigabe Techem</t>
  </si>
  <si>
    <t>krank</t>
  </si>
  <si>
    <t>Arztbesuch, ohne Mittag</t>
  </si>
  <si>
    <t>1:30 Physio (mit Moor)</t>
  </si>
  <si>
    <t>keine Pausen-Prüfer</t>
  </si>
  <si>
    <t>letzter Tag Prüfer</t>
  </si>
  <si>
    <t>Röntgen Mutti, Tel. Organ</t>
  </si>
  <si>
    <t>ohne Mittag</t>
  </si>
  <si>
    <t>Schlüssel Margraf</t>
  </si>
  <si>
    <t>Reha-Sport</t>
  </si>
  <si>
    <t>15 Uhr Notar</t>
  </si>
  <si>
    <t>Apotheke</t>
  </si>
  <si>
    <t>Feiertag</t>
  </si>
  <si>
    <t>KH Mutti</t>
  </si>
  <si>
    <t>Osteopatie</t>
  </si>
  <si>
    <t>Reha Sport</t>
  </si>
  <si>
    <t>Arzttermin</t>
  </si>
  <si>
    <t>Urlaub</t>
  </si>
  <si>
    <t>Priv. Termin 9:45-11:15</t>
  </si>
  <si>
    <t>Weihnachtsfeier WBG</t>
  </si>
  <si>
    <t>14 Uhr priv. Termin</t>
  </si>
  <si>
    <t>Seminar Erfurt</t>
  </si>
  <si>
    <t>Termin KH</t>
  </si>
  <si>
    <t>9-10 Uhr priv. Termin</t>
  </si>
  <si>
    <t>Mittag außer Haus</t>
  </si>
  <si>
    <t>10-11 Uhr priv. außer Haus</t>
  </si>
  <si>
    <t>10.10-10.50 priv. außer Haus</t>
  </si>
  <si>
    <t>Zeitausgleich - krank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</si>
</sst>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&quot;h&quot;"/>
  </numFmts>
  <fonts count="5">
    <font>
      <sz val="12"/>
      <color theme="1"/>
      <name val="Aptos Narrow"/>
      <family val="2"/>
      <scheme val="minor"/>
    </font>
    <font>
      <sz val="18"/>
      <color theme="1"/>
      <name val="Aptos Narrow (Body)"/>
    </font>
    <font>
      <sz val="18"/>
      <color theme="1"/>
      <name val="Aptos Narrow"/>
      <family val="2"/>
      <scheme val="minor"/>
    </font>
    <font>
      <sz val="4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3" borderId="1" xfId="0" applyNumberFormat="1" applyFill="1" applyBorder="1"/>
    <xf numFmtId="164" fontId="0" fillId="3" borderId="9" xfId="0" applyNumberFormat="1" applyFill="1" applyBorder="1"/>
    <xf numFmtId="0" fontId="0" fillId="3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3" borderId="11" xfId="0" applyNumberFormat="1" applyFill="1" applyBorder="1"/>
    <xf numFmtId="0" fontId="0" fillId="3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4" xfId="0" applyNumberFormat="1" applyFill="1" applyBorder="1"/>
    <xf numFmtId="14" fontId="0" fillId="3" borderId="6" xfId="0" applyNumberFormat="1" applyFill="1" applyBorder="1"/>
    <xf numFmtId="164" fontId="0" fillId="3" borderId="10" xfId="0" applyNumberFormat="1" applyFill="1" applyBorder="1"/>
    <xf numFmtId="0" fontId="0" fillId="3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2" borderId="4" xfId="0" applyNumberFormat="1" applyFill="1" applyBorder="1"/>
    <xf numFmtId="164" fontId="0" fillId="2" borderId="11" xfId="0" applyNumberFormat="1" applyFill="1" applyBorder="1"/>
    <xf numFmtId="0" fontId="0" fillId="2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9" xfId="0" applyNumberFormat="1" applyFill="1" applyBorder="1"/>
    <xf numFmtId="14" fontId="0" fillId="2" borderId="11" xfId="0" applyNumberFormat="1" applyFill="1" applyBorder="1"/>
    <xf numFmtId="14" fontId="0" fillId="3" borderId="11" xfId="0" applyNumberFormat="1" applyFill="1" applyBorder="1"/>
    <xf numFmtId="14" fontId="0" fillId="3" borderId="10" xfId="0" applyNumberFormat="1" applyFill="1" applyBorder="1"/>
    <xf numFmtId="164" fontId="0" fillId="0" borderId="0" xfId="0" applyNumberFormat="1"/>
    <xf numFmtId="0" fontId="4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8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1" fontId="2" fillId="2" borderId="3" xfId="0" applyNumberFormat="1" applyFont="1" applyFill="1" applyBorder="1" applyAlignment="1">
      <alignment horizontal="left"/>
    </xf>
    <xf numFmtId="1" fontId="2" fillId="2" borderId="6" xfId="0" applyNumberFormat="1" applyFont="1" applyFill="1" applyBorder="1" applyAlignment="1">
      <alignment horizontal="left"/>
    </xf>
    <xf numFmtId="1" fontId="2" fillId="2" borderId="7" xfId="0" applyNumberFormat="1" applyFont="1" applyFill="1" applyBorder="1" applyAlignment="1">
      <alignment horizontal="left"/>
    </xf>
    <xf numFmtId="1" fontId="2" fillId="2" borderId="8" xfId="0" applyNumberFormat="1" applyFont="1" applyFill="1" applyBorder="1" applyAlignment="1">
      <alignment horizontal="left"/>
    </xf>
    <xf numFmtId="20" fontId="0" fillId="3" borderId="4" xfId="0" applyNumberFormat="1" applyFill="1" applyBorder="1" applyAlignment="1">
      <alignment horizontal="center"/>
    </xf>
    <xf numFmtId="20" fontId="0" fillId="3" borderId="5" xfId="0" applyNumberFormat="1" applyFill="1" applyBorder="1" applyAlignment="1">
      <alignment horizontal="center"/>
    </xf>
    <xf numFmtId="20" fontId="0" fillId="2" borderId="4" xfId="0" applyNumberFormat="1" applyFill="1" applyBorder="1" applyAlignment="1">
      <alignment horizontal="center"/>
    </xf>
    <xf numFmtId="20" fontId="0" fillId="2" borderId="5" xfId="0" applyNumberFormat="1" applyFill="1" applyBorder="1" applyAlignment="1">
      <alignment horizontal="center"/>
    </xf>
    <xf numFmtId="20" fontId="0" fillId="3" borderId="6" xfId="0" applyNumberFormat="1" applyFill="1" applyBorder="1" applyAlignment="1">
      <alignment horizontal="center"/>
    </xf>
    <xf numFmtId="20" fontId="0" fillId="3" borderId="8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20" fontId="0" fillId="2" borderId="0" xfId="0" applyNumberFormat="1" applyFill="1" applyAlignment="1">
      <alignment horizontal="center"/>
    </xf>
    <xf numFmtId="20" fontId="0" fillId="3" borderId="7" xfId="0" applyNumberFormat="1" applyFill="1" applyBorder="1" applyAlignment="1">
      <alignment horizontal="center"/>
    </xf>
    <xf numFmtId="20" fontId="0" fillId="3" borderId="0" xfId="0" applyNumberFormat="1" applyFill="1" applyAlignment="1">
      <alignment horizontal="center"/>
    </xf>
    <xf numFmtId="20" fontId="0" fillId="3" borderId="1" xfId="0" applyNumberFormat="1" applyFill="1" applyBorder="1" applyAlignment="1">
      <alignment horizontal="center"/>
    </xf>
    <xf numFmtId="20" fontId="0" fillId="3" borderId="3" xfId="0" applyNumberFormat="1" applyFill="1" applyBorder="1" applyAlignment="1">
      <alignment horizontal="center"/>
    </xf>
    <xf numFmtId="20" fontId="0" fillId="3" borderId="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3E8-E854-2543-95EE-AB3032AE9819}">
  <sheetPr>
    <pageSetUpPr fitToPage="1"/>
  </sheetPr>
  <dimension ref="A1:V43"/>
  <sheetViews>
    <sheetView topLeftCell="A12" workbookViewId="0">
      <selection activeCell="S26" sqref="S26"/>
    </sheetView>
  </sheetViews>
  <sheetFormatPr baseColWidth="10" defaultRowHeight="15.6"/>
  <sheetData>
    <row r="1" spans="1:22" ht="15.9" customHeight="1">
      <c r="A1" s="85" t="s">
        <v>22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T1" s="91" t="s">
        <v>14</v>
      </c>
      <c r="U1" s="92"/>
      <c r="V1" s="93"/>
    </row>
    <row r="2" spans="1:22" ht="15.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T2" s="94"/>
      <c r="U2" s="95"/>
      <c r="V2" s="96"/>
    </row>
    <row r="3" spans="1:22" ht="15.9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T3" s="4" t="s">
        <v>2</v>
      </c>
      <c r="U3" s="3" t="s">
        <v>3</v>
      </c>
      <c r="V3" s="5" t="s">
        <v>4</v>
      </c>
    </row>
    <row r="4" spans="1:22" ht="17.100000000000001" customHeight="1" thickBot="1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T4" s="2" t="s">
        <v>9</v>
      </c>
      <c r="U4">
        <v>7</v>
      </c>
      <c r="V4" s="6">
        <v>14</v>
      </c>
    </row>
    <row r="5" spans="1:22" ht="15.9" customHeight="1">
      <c r="A5" s="113" t="s">
        <v>0</v>
      </c>
      <c r="B5" s="114"/>
      <c r="C5" s="115"/>
      <c r="D5" s="119" t="s">
        <v>17</v>
      </c>
      <c r="E5" s="120"/>
      <c r="F5" s="120"/>
      <c r="G5" s="120"/>
      <c r="H5" s="121"/>
      <c r="I5" s="119" t="s">
        <v>1</v>
      </c>
      <c r="J5" s="120"/>
      <c r="K5" s="121"/>
      <c r="L5" s="125">
        <v>32</v>
      </c>
      <c r="M5" s="59" t="s">
        <v>16</v>
      </c>
      <c r="N5" s="60"/>
      <c r="O5" s="60"/>
      <c r="P5" s="61"/>
      <c r="Q5" s="40">
        <v>1.0138888888888888</v>
      </c>
      <c r="R5" s="76"/>
      <c r="T5" s="2" t="s">
        <v>10</v>
      </c>
      <c r="U5">
        <v>7</v>
      </c>
      <c r="V5" s="6">
        <v>17</v>
      </c>
    </row>
    <row r="6" spans="1:22" ht="18.899999999999999" customHeight="1" thickBot="1">
      <c r="A6" s="116"/>
      <c r="B6" s="117"/>
      <c r="C6" s="118"/>
      <c r="D6" s="122"/>
      <c r="E6" s="123"/>
      <c r="F6" s="123"/>
      <c r="G6" s="123"/>
      <c r="H6" s="124"/>
      <c r="I6" s="122"/>
      <c r="J6" s="123"/>
      <c r="K6" s="124"/>
      <c r="L6" s="126"/>
      <c r="M6" s="62"/>
      <c r="N6" s="63"/>
      <c r="O6" s="63"/>
      <c r="P6" s="64"/>
      <c r="Q6" s="77"/>
      <c r="R6" s="78"/>
      <c r="T6" s="2" t="s">
        <v>11</v>
      </c>
      <c r="U6">
        <v>7</v>
      </c>
      <c r="V6" s="6">
        <v>14</v>
      </c>
    </row>
    <row r="7" spans="1:22" ht="15.9" customHeight="1">
      <c r="A7" s="57" t="s">
        <v>2</v>
      </c>
      <c r="B7" s="80" t="s">
        <v>3</v>
      </c>
      <c r="C7" s="42"/>
      <c r="D7" s="80" t="s">
        <v>4</v>
      </c>
      <c r="E7" s="42"/>
      <c r="F7" s="80" t="s">
        <v>5</v>
      </c>
      <c r="G7" s="42"/>
      <c r="H7" s="80" t="s">
        <v>6</v>
      </c>
      <c r="I7" s="41"/>
      <c r="J7" s="42"/>
      <c r="K7" s="80" t="s">
        <v>7</v>
      </c>
      <c r="L7" s="41"/>
      <c r="M7" s="42"/>
      <c r="N7" s="57" t="s">
        <v>18</v>
      </c>
      <c r="O7" s="80" t="s">
        <v>8</v>
      </c>
      <c r="P7" s="41"/>
      <c r="Q7" s="41"/>
      <c r="R7" s="57" t="s">
        <v>19</v>
      </c>
      <c r="S7" s="1"/>
      <c r="T7" s="2" t="s">
        <v>12</v>
      </c>
      <c r="U7">
        <v>7</v>
      </c>
      <c r="V7" s="6">
        <v>14</v>
      </c>
    </row>
    <row r="8" spans="1:22" ht="17.100000000000001" customHeight="1" thickBot="1">
      <c r="A8" s="75"/>
      <c r="B8" s="81"/>
      <c r="C8" s="36"/>
      <c r="D8" s="81"/>
      <c r="E8" s="36"/>
      <c r="F8" s="37"/>
      <c r="G8" s="39"/>
      <c r="H8" s="81"/>
      <c r="I8" s="35"/>
      <c r="J8" s="36"/>
      <c r="K8" s="81"/>
      <c r="L8" s="35"/>
      <c r="M8" s="36"/>
      <c r="N8" s="58"/>
      <c r="O8" s="81"/>
      <c r="P8" s="35"/>
      <c r="Q8" s="35"/>
      <c r="R8" s="75"/>
      <c r="S8" s="1"/>
      <c r="T8" s="7" t="s">
        <v>13</v>
      </c>
      <c r="U8" s="8">
        <v>7</v>
      </c>
      <c r="V8" s="9">
        <v>11</v>
      </c>
    </row>
    <row r="9" spans="1:22">
      <c r="A9" s="10">
        <v>45839</v>
      </c>
      <c r="B9" s="102">
        <v>0.28472222222222221</v>
      </c>
      <c r="C9" s="104"/>
      <c r="D9" s="102">
        <v>0.74305555555555558</v>
      </c>
      <c r="E9" s="103"/>
      <c r="F9" s="82">
        <v>4.1666666666666664E-2</v>
      </c>
      <c r="G9" s="82"/>
      <c r="H9" s="111">
        <f>IF(R9=TRUE, K9, IF(OR(ISBLANK(B9), ISBLANK(D9)), 0, IF(D9&gt;B9, D9-B9-F9, 1-B9+D9-F9)))</f>
        <v>0.41666666666666669</v>
      </c>
      <c r="I9" s="82"/>
      <c r="J9" s="112"/>
      <c r="K9" s="82">
        <f>IF(OR(WEEKDAY(A9,2)=6,WEEKDAY(A9,2)=7),0,($L$5/5)/24)</f>
        <v>0.26666666666666666</v>
      </c>
      <c r="L9" s="82"/>
      <c r="M9" s="82"/>
      <c r="N9" s="11" t="str">
        <f>IF(H9-K9=0, "±0:00", IF(H9-K9&gt;0, "+" &amp; TEXT(H9-K9, "[h]:mm"), "-" &amp; TEXT(ABS(H9-K9), "[h]:mm")))</f>
        <v>+3:36</v>
      </c>
      <c r="O9" s="83" t="s">
        <v>34</v>
      </c>
      <c r="P9" s="83"/>
      <c r="Q9" s="84"/>
      <c r="R9" s="12" t="b">
        <v>0</v>
      </c>
    </row>
    <row r="10" spans="1:22">
      <c r="A10" s="19">
        <v>45840</v>
      </c>
      <c r="B10" s="67"/>
      <c r="C10" s="99"/>
      <c r="D10" s="67"/>
      <c r="E10" s="68"/>
      <c r="F10" s="55"/>
      <c r="G10" s="55"/>
      <c r="H10" s="107"/>
      <c r="I10" s="55"/>
      <c r="J10" s="108"/>
      <c r="K10" s="55">
        <f>IF(OR(WEEKDAY(A10,2)=6,WEEKDAY(A10,2)=7),0,($L$5/5)/24)</f>
        <v>0.26666666666666666</v>
      </c>
      <c r="L10" s="55"/>
      <c r="M10" s="55"/>
      <c r="N10" s="20" t="str">
        <f t="shared" ref="N10:N39" si="0">IF(H10-K10=0, "±0:00", IF(H10-K10&gt;0, "+" &amp; TEXT(H10-K10, "[h]:mm"), "-" &amp; TEXT(ABS(H10-K10), "[h]:mm")))</f>
        <v>-6:24</v>
      </c>
      <c r="O10" s="73" t="s">
        <v>23</v>
      </c>
      <c r="P10" s="73"/>
      <c r="Q10" s="74"/>
      <c r="R10" s="21" t="b">
        <v>0</v>
      </c>
    </row>
    <row r="11" spans="1:22">
      <c r="A11" s="15">
        <v>45841</v>
      </c>
      <c r="B11" s="65">
        <v>0.29166666666666702</v>
      </c>
      <c r="C11" s="101"/>
      <c r="D11" s="65">
        <v>0.39583333333333331</v>
      </c>
      <c r="E11" s="66"/>
      <c r="F11" s="79">
        <v>0</v>
      </c>
      <c r="G11" s="79"/>
      <c r="H11" s="105">
        <f t="shared" ref="H11:H39" si="1">IF(R11=TRUE, K11, IF(OR(ISBLANK(B11), ISBLANK(D11)), 0, IF(D11&gt;B11, D11-B11-F11, 1-B11+D11-F11)))</f>
        <v>0.1041666666666663</v>
      </c>
      <c r="I11" s="79"/>
      <c r="J11" s="106"/>
      <c r="K11" s="79">
        <f t="shared" ref="K11:K39" si="2">IF(OR(WEEKDAY(A11,2)=6,WEEKDAY(A11,2)=7),0,($L$5/5)/24)</f>
        <v>0.26666666666666666</v>
      </c>
      <c r="L11" s="79"/>
      <c r="M11" s="79"/>
      <c r="N11" s="13" t="str">
        <f t="shared" si="0"/>
        <v>-3:54</v>
      </c>
      <c r="O11" s="71" t="s">
        <v>35</v>
      </c>
      <c r="P11" s="71"/>
      <c r="Q11" s="72"/>
      <c r="R11" s="14" t="b">
        <v>0</v>
      </c>
    </row>
    <row r="12" spans="1:22">
      <c r="A12" s="19">
        <v>45842</v>
      </c>
      <c r="B12" s="67"/>
      <c r="C12" s="99"/>
      <c r="D12" s="67"/>
      <c r="E12" s="68"/>
      <c r="F12" s="55"/>
      <c r="G12" s="55"/>
      <c r="H12" s="107">
        <f t="shared" si="1"/>
        <v>0.26666666666666666</v>
      </c>
      <c r="I12" s="55"/>
      <c r="J12" s="108"/>
      <c r="K12" s="55">
        <f t="shared" si="2"/>
        <v>0.26666666666666666</v>
      </c>
      <c r="L12" s="55"/>
      <c r="M12" s="55"/>
      <c r="N12" s="20" t="str">
        <f t="shared" si="0"/>
        <v>±0:00</v>
      </c>
      <c r="O12" s="73"/>
      <c r="P12" s="73"/>
      <c r="Q12" s="74"/>
      <c r="R12" s="21" t="b">
        <v>1</v>
      </c>
    </row>
    <row r="13" spans="1:22">
      <c r="A13" s="15">
        <v>45843</v>
      </c>
      <c r="B13" s="65"/>
      <c r="C13" s="101"/>
      <c r="D13" s="65"/>
      <c r="E13" s="66"/>
      <c r="F13" s="79"/>
      <c r="G13" s="79"/>
      <c r="H13" s="105"/>
      <c r="I13" s="79"/>
      <c r="J13" s="106"/>
      <c r="K13" s="79"/>
      <c r="L13" s="79"/>
      <c r="M13" s="79"/>
      <c r="N13" s="13" t="str">
        <f t="shared" si="0"/>
        <v>±0:00</v>
      </c>
      <c r="O13" s="71" t="s">
        <v>15</v>
      </c>
      <c r="P13" s="71"/>
      <c r="Q13" s="72"/>
      <c r="R13" s="14" t="b">
        <v>0</v>
      </c>
    </row>
    <row r="14" spans="1:22">
      <c r="A14" s="19">
        <v>45844</v>
      </c>
      <c r="B14" s="67"/>
      <c r="C14" s="99"/>
      <c r="D14" s="67"/>
      <c r="E14" s="68"/>
      <c r="F14" s="55"/>
      <c r="G14" s="55"/>
      <c r="H14" s="107"/>
      <c r="I14" s="55"/>
      <c r="J14" s="108"/>
      <c r="K14" s="55"/>
      <c r="L14" s="55"/>
      <c r="M14" s="55"/>
      <c r="N14" s="20" t="str">
        <f t="shared" si="0"/>
        <v>±0:00</v>
      </c>
      <c r="O14" s="73" t="s">
        <v>15</v>
      </c>
      <c r="P14" s="73"/>
      <c r="Q14" s="74"/>
      <c r="R14" s="21" t="b">
        <v>0</v>
      </c>
    </row>
    <row r="15" spans="1:22">
      <c r="A15" s="15">
        <v>45845</v>
      </c>
      <c r="B15" s="65">
        <v>0.28819444444444442</v>
      </c>
      <c r="C15" s="101"/>
      <c r="D15" s="65">
        <v>0.64583333333333337</v>
      </c>
      <c r="E15" s="66"/>
      <c r="F15" s="79">
        <v>4.1666666666666664E-2</v>
      </c>
      <c r="G15" s="79"/>
      <c r="H15" s="105">
        <f t="shared" si="1"/>
        <v>0.31597222222222227</v>
      </c>
      <c r="I15" s="79"/>
      <c r="J15" s="106"/>
      <c r="K15" s="79">
        <f t="shared" si="2"/>
        <v>0.26666666666666666</v>
      </c>
      <c r="L15" s="79"/>
      <c r="M15" s="79"/>
      <c r="N15" s="13" t="str">
        <f t="shared" si="0"/>
        <v>+1:11</v>
      </c>
      <c r="O15" s="71" t="s">
        <v>25</v>
      </c>
      <c r="P15" s="71"/>
      <c r="Q15" s="72"/>
      <c r="R15" s="14" t="b">
        <v>0</v>
      </c>
    </row>
    <row r="16" spans="1:22">
      <c r="A16" s="19">
        <v>45846</v>
      </c>
      <c r="B16" s="67"/>
      <c r="C16" s="99"/>
      <c r="D16" s="67"/>
      <c r="E16" s="68"/>
      <c r="F16" s="55"/>
      <c r="G16" s="55"/>
      <c r="H16" s="107">
        <f t="shared" si="1"/>
        <v>0.26666666666666666</v>
      </c>
      <c r="I16" s="55"/>
      <c r="J16" s="108"/>
      <c r="K16" s="55">
        <f t="shared" si="2"/>
        <v>0.26666666666666666</v>
      </c>
      <c r="L16" s="55"/>
      <c r="M16" s="55"/>
      <c r="N16" s="20" t="str">
        <f t="shared" si="0"/>
        <v>±0:00</v>
      </c>
      <c r="O16" s="73" t="s">
        <v>24</v>
      </c>
      <c r="P16" s="73"/>
      <c r="Q16" s="74"/>
      <c r="R16" s="21" t="b">
        <v>1</v>
      </c>
    </row>
    <row r="17" spans="1:18">
      <c r="A17" s="15">
        <v>45847</v>
      </c>
      <c r="B17" s="65"/>
      <c r="C17" s="101"/>
      <c r="D17" s="65"/>
      <c r="E17" s="66"/>
      <c r="F17" s="79"/>
      <c r="G17" s="79"/>
      <c r="H17" s="105">
        <f t="shared" si="1"/>
        <v>0.26666666666666666</v>
      </c>
      <c r="I17" s="79"/>
      <c r="J17" s="106"/>
      <c r="K17" s="79">
        <f t="shared" si="2"/>
        <v>0.26666666666666666</v>
      </c>
      <c r="L17" s="79"/>
      <c r="M17" s="79"/>
      <c r="N17" s="13" t="str">
        <f t="shared" si="0"/>
        <v>±0:00</v>
      </c>
      <c r="O17" s="71" t="s">
        <v>24</v>
      </c>
      <c r="P17" s="71"/>
      <c r="Q17" s="72"/>
      <c r="R17" s="14" t="b">
        <v>1</v>
      </c>
    </row>
    <row r="18" spans="1:18">
      <c r="A18" s="19">
        <v>45848</v>
      </c>
      <c r="B18" s="67">
        <v>0.28819444444444442</v>
      </c>
      <c r="C18" s="99"/>
      <c r="D18" s="67">
        <v>0.63194444444444442</v>
      </c>
      <c r="E18" s="68"/>
      <c r="F18" s="55">
        <v>2.0833333333333332E-2</v>
      </c>
      <c r="G18" s="55"/>
      <c r="H18" s="107">
        <f t="shared" si="1"/>
        <v>0.32291666666666669</v>
      </c>
      <c r="I18" s="55"/>
      <c r="J18" s="108"/>
      <c r="K18" s="55">
        <f t="shared" si="2"/>
        <v>0.26666666666666666</v>
      </c>
      <c r="L18" s="55"/>
      <c r="M18" s="55"/>
      <c r="N18" s="20" t="str">
        <f t="shared" si="0"/>
        <v>+1:21</v>
      </c>
      <c r="O18" s="73"/>
      <c r="P18" s="73"/>
      <c r="Q18" s="74"/>
      <c r="R18" s="21" t="b">
        <v>0</v>
      </c>
    </row>
    <row r="19" spans="1:18">
      <c r="A19" s="15">
        <v>45849</v>
      </c>
      <c r="B19" s="65">
        <v>0.28472222222222221</v>
      </c>
      <c r="C19" s="101"/>
      <c r="D19" s="65">
        <v>0.75694444444444442</v>
      </c>
      <c r="E19" s="66"/>
      <c r="F19" s="79">
        <v>8.3333333333333329E-2</v>
      </c>
      <c r="G19" s="79"/>
      <c r="H19" s="105">
        <f t="shared" si="1"/>
        <v>0.3888888888888889</v>
      </c>
      <c r="I19" s="79"/>
      <c r="J19" s="106"/>
      <c r="K19" s="79">
        <f t="shared" si="2"/>
        <v>0.26666666666666666</v>
      </c>
      <c r="L19" s="79"/>
      <c r="M19" s="79"/>
      <c r="N19" s="13" t="str">
        <f t="shared" si="0"/>
        <v>+2:56</v>
      </c>
      <c r="O19" s="71" t="s">
        <v>36</v>
      </c>
      <c r="P19" s="71"/>
      <c r="Q19" s="72"/>
      <c r="R19" s="14" t="b">
        <v>0</v>
      </c>
    </row>
    <row r="20" spans="1:18">
      <c r="A20" s="19">
        <v>45850</v>
      </c>
      <c r="B20" s="67"/>
      <c r="C20" s="99"/>
      <c r="D20" s="67"/>
      <c r="E20" s="68"/>
      <c r="F20" s="55"/>
      <c r="G20" s="55"/>
      <c r="H20" s="107"/>
      <c r="I20" s="55"/>
      <c r="J20" s="108"/>
      <c r="K20" s="55"/>
      <c r="L20" s="55"/>
      <c r="M20" s="55"/>
      <c r="N20" s="20" t="str">
        <f t="shared" si="0"/>
        <v>±0:00</v>
      </c>
      <c r="O20" s="73" t="s">
        <v>15</v>
      </c>
      <c r="P20" s="73"/>
      <c r="Q20" s="74"/>
      <c r="R20" s="21" t="b">
        <v>0</v>
      </c>
    </row>
    <row r="21" spans="1:18">
      <c r="A21" s="15">
        <v>45851</v>
      </c>
      <c r="B21" s="65"/>
      <c r="C21" s="101"/>
      <c r="D21" s="65"/>
      <c r="E21" s="66"/>
      <c r="F21" s="79"/>
      <c r="G21" s="79"/>
      <c r="H21" s="105"/>
      <c r="I21" s="79"/>
      <c r="J21" s="106"/>
      <c r="K21" s="79"/>
      <c r="L21" s="79"/>
      <c r="M21" s="79"/>
      <c r="N21" s="13" t="str">
        <f t="shared" si="0"/>
        <v>±0:00</v>
      </c>
      <c r="O21" s="71" t="s">
        <v>15</v>
      </c>
      <c r="P21" s="71"/>
      <c r="Q21" s="72"/>
      <c r="R21" s="14" t="b">
        <v>0</v>
      </c>
    </row>
    <row r="22" spans="1:18">
      <c r="A22" s="19">
        <v>45852</v>
      </c>
      <c r="B22" s="67">
        <v>0.28819444444444442</v>
      </c>
      <c r="C22" s="99"/>
      <c r="D22" s="67">
        <v>0.51041666666666663</v>
      </c>
      <c r="E22" s="68"/>
      <c r="F22" s="55"/>
      <c r="G22" s="55"/>
      <c r="H22" s="107">
        <f t="shared" si="1"/>
        <v>0.22222222222222221</v>
      </c>
      <c r="I22" s="55"/>
      <c r="J22" s="108"/>
      <c r="K22" s="55">
        <f t="shared" si="2"/>
        <v>0.26666666666666666</v>
      </c>
      <c r="L22" s="55"/>
      <c r="M22" s="55"/>
      <c r="N22" s="20" t="str">
        <f t="shared" si="0"/>
        <v>-1:04</v>
      </c>
      <c r="O22" s="73"/>
      <c r="P22" s="73"/>
      <c r="Q22" s="74"/>
      <c r="R22" s="21" t="b">
        <v>0</v>
      </c>
    </row>
    <row r="23" spans="1:18">
      <c r="A23" s="15">
        <v>45853</v>
      </c>
      <c r="B23" s="65">
        <v>0.28819444444444442</v>
      </c>
      <c r="C23" s="101"/>
      <c r="D23" s="65">
        <v>0.75</v>
      </c>
      <c r="E23" s="66"/>
      <c r="F23" s="79">
        <v>3.125E-2</v>
      </c>
      <c r="G23" s="79"/>
      <c r="H23" s="105">
        <f t="shared" si="1"/>
        <v>0.43055555555555558</v>
      </c>
      <c r="I23" s="79"/>
      <c r="J23" s="106"/>
      <c r="K23" s="79">
        <f t="shared" si="2"/>
        <v>0.26666666666666666</v>
      </c>
      <c r="L23" s="79"/>
      <c r="M23" s="79"/>
      <c r="N23" s="13" t="str">
        <f t="shared" si="0"/>
        <v>+3:56</v>
      </c>
      <c r="O23" s="71"/>
      <c r="P23" s="71"/>
      <c r="Q23" s="72"/>
      <c r="R23" s="14" t="b">
        <v>0</v>
      </c>
    </row>
    <row r="24" spans="1:18">
      <c r="A24" s="19">
        <v>45854</v>
      </c>
      <c r="B24" s="67">
        <v>0.28472222222222221</v>
      </c>
      <c r="C24" s="99"/>
      <c r="D24" s="67">
        <v>0.62847222222222221</v>
      </c>
      <c r="E24" s="68"/>
      <c r="F24" s="55">
        <v>2.0833333333333332E-2</v>
      </c>
      <c r="G24" s="55"/>
      <c r="H24" s="107">
        <f t="shared" si="1"/>
        <v>0.32291666666666669</v>
      </c>
      <c r="I24" s="55"/>
      <c r="J24" s="108"/>
      <c r="K24" s="55">
        <f t="shared" si="2"/>
        <v>0.26666666666666666</v>
      </c>
      <c r="L24" s="55"/>
      <c r="M24" s="55"/>
      <c r="N24" s="20" t="str">
        <f t="shared" si="0"/>
        <v>+1:21</v>
      </c>
      <c r="O24" s="73"/>
      <c r="P24" s="73"/>
      <c r="Q24" s="74"/>
      <c r="R24" s="21" t="b">
        <v>0</v>
      </c>
    </row>
    <row r="25" spans="1:18">
      <c r="A25" s="15">
        <v>45855</v>
      </c>
      <c r="B25" s="65">
        <v>0.28472222222222221</v>
      </c>
      <c r="C25" s="101"/>
      <c r="D25" s="65">
        <v>0.61458333333333337</v>
      </c>
      <c r="E25" s="66"/>
      <c r="F25" s="79">
        <v>4.1666666666666664E-2</v>
      </c>
      <c r="G25" s="79"/>
      <c r="H25" s="105">
        <f t="shared" si="1"/>
        <v>0.28819444444444448</v>
      </c>
      <c r="I25" s="79"/>
      <c r="J25" s="106"/>
      <c r="K25" s="79">
        <f t="shared" si="2"/>
        <v>0.26666666666666666</v>
      </c>
      <c r="L25" s="79"/>
      <c r="M25" s="79"/>
      <c r="N25" s="13" t="str">
        <f t="shared" si="0"/>
        <v>+0:31</v>
      </c>
      <c r="O25" s="71" t="s">
        <v>25</v>
      </c>
      <c r="P25" s="71"/>
      <c r="Q25" s="72"/>
      <c r="R25" s="14" t="b">
        <v>0</v>
      </c>
    </row>
    <row r="26" spans="1:18">
      <c r="A26" s="19">
        <v>45856</v>
      </c>
      <c r="B26" s="67">
        <v>0.28819444444444442</v>
      </c>
      <c r="C26" s="99"/>
      <c r="D26" s="67">
        <v>0.51041666666666663</v>
      </c>
      <c r="E26" s="68"/>
      <c r="F26" s="55"/>
      <c r="G26" s="55"/>
      <c r="H26" s="107">
        <f t="shared" si="1"/>
        <v>0.22222222222222221</v>
      </c>
      <c r="I26" s="55"/>
      <c r="J26" s="108"/>
      <c r="K26" s="55">
        <f t="shared" si="2"/>
        <v>0.26666666666666666</v>
      </c>
      <c r="L26" s="55"/>
      <c r="M26" s="55"/>
      <c r="N26" s="20" t="str">
        <f t="shared" si="0"/>
        <v>-1:04</v>
      </c>
      <c r="O26" s="73"/>
      <c r="P26" s="73"/>
      <c r="Q26" s="74"/>
      <c r="R26" s="21" t="b">
        <v>0</v>
      </c>
    </row>
    <row r="27" spans="1:18">
      <c r="A27" s="15">
        <v>45857</v>
      </c>
      <c r="B27" s="65"/>
      <c r="C27" s="101"/>
      <c r="D27" s="65"/>
      <c r="E27" s="66"/>
      <c r="F27" s="79"/>
      <c r="G27" s="79"/>
      <c r="H27" s="105"/>
      <c r="I27" s="79"/>
      <c r="J27" s="106"/>
      <c r="K27" s="79"/>
      <c r="L27" s="79"/>
      <c r="M27" s="79"/>
      <c r="N27" s="13" t="str">
        <f t="shared" si="0"/>
        <v>±0:00</v>
      </c>
      <c r="O27" s="71" t="s">
        <v>15</v>
      </c>
      <c r="P27" s="71"/>
      <c r="Q27" s="72"/>
      <c r="R27" s="14" t="b">
        <v>0</v>
      </c>
    </row>
    <row r="28" spans="1:18">
      <c r="A28" s="19">
        <v>45858</v>
      </c>
      <c r="B28" s="67"/>
      <c r="C28" s="99"/>
      <c r="D28" s="67"/>
      <c r="E28" s="68"/>
      <c r="F28" s="55"/>
      <c r="G28" s="55"/>
      <c r="H28" s="107"/>
      <c r="I28" s="55"/>
      <c r="J28" s="108"/>
      <c r="K28" s="55"/>
      <c r="L28" s="55"/>
      <c r="M28" s="55"/>
      <c r="N28" s="20" t="str">
        <f t="shared" si="0"/>
        <v>±0:00</v>
      </c>
      <c r="O28" s="73" t="s">
        <v>15</v>
      </c>
      <c r="P28" s="73"/>
      <c r="Q28" s="74"/>
      <c r="R28" s="21" t="b">
        <v>0</v>
      </c>
    </row>
    <row r="29" spans="1:18">
      <c r="A29" s="15">
        <v>45859</v>
      </c>
      <c r="B29" s="65">
        <v>0.29166666666666669</v>
      </c>
      <c r="C29" s="101"/>
      <c r="D29" s="65">
        <v>0.63541666666666663</v>
      </c>
      <c r="E29" s="66"/>
      <c r="F29" s="79">
        <v>4.1666666666666664E-2</v>
      </c>
      <c r="G29" s="79"/>
      <c r="H29" s="105">
        <f t="shared" si="1"/>
        <v>0.30208333333333326</v>
      </c>
      <c r="I29" s="79"/>
      <c r="J29" s="106"/>
      <c r="K29" s="79">
        <f t="shared" si="2"/>
        <v>0.26666666666666666</v>
      </c>
      <c r="L29" s="79"/>
      <c r="M29" s="79"/>
      <c r="N29" s="13" t="str">
        <f t="shared" si="0"/>
        <v>+0:51</v>
      </c>
      <c r="O29" s="71" t="s">
        <v>25</v>
      </c>
      <c r="P29" s="71"/>
      <c r="Q29" s="72"/>
      <c r="R29" s="14" t="b">
        <v>0</v>
      </c>
    </row>
    <row r="30" spans="1:18">
      <c r="A30" s="19">
        <v>45860</v>
      </c>
      <c r="B30" s="67">
        <v>0.28472222222222221</v>
      </c>
      <c r="C30" s="99"/>
      <c r="D30" s="67">
        <v>0.75</v>
      </c>
      <c r="E30" s="68"/>
      <c r="F30" s="55">
        <v>4.1666666666666664E-2</v>
      </c>
      <c r="G30" s="55"/>
      <c r="H30" s="107">
        <f t="shared" si="1"/>
        <v>0.4236111111111111</v>
      </c>
      <c r="I30" s="55"/>
      <c r="J30" s="108"/>
      <c r="K30" s="55">
        <f t="shared" si="2"/>
        <v>0.26666666666666666</v>
      </c>
      <c r="L30" s="55"/>
      <c r="M30" s="55"/>
      <c r="N30" s="20" t="str">
        <f t="shared" si="0"/>
        <v>+3:46</v>
      </c>
      <c r="O30" s="73"/>
      <c r="P30" s="73"/>
      <c r="Q30" s="74"/>
      <c r="R30" s="21" t="b">
        <v>0</v>
      </c>
    </row>
    <row r="31" spans="1:18">
      <c r="A31" s="15">
        <v>45861</v>
      </c>
      <c r="B31" s="65">
        <v>0.28472222222222221</v>
      </c>
      <c r="C31" s="101"/>
      <c r="D31" s="65">
        <v>0.63541666666666663</v>
      </c>
      <c r="E31" s="66"/>
      <c r="F31" s="79">
        <v>2.0833333333333332E-2</v>
      </c>
      <c r="G31" s="79"/>
      <c r="H31" s="105">
        <f t="shared" si="1"/>
        <v>0.3298611111111111</v>
      </c>
      <c r="I31" s="79"/>
      <c r="J31" s="106"/>
      <c r="K31" s="79">
        <f t="shared" si="2"/>
        <v>0.26666666666666666</v>
      </c>
      <c r="L31" s="79"/>
      <c r="M31" s="79"/>
      <c r="N31" s="13" t="str">
        <f t="shared" si="0"/>
        <v>+1:31</v>
      </c>
      <c r="O31" s="71"/>
      <c r="P31" s="71"/>
      <c r="Q31" s="72"/>
      <c r="R31" s="14" t="b">
        <v>0</v>
      </c>
    </row>
    <row r="32" spans="1:18">
      <c r="A32" s="19">
        <v>45862</v>
      </c>
      <c r="B32" s="67">
        <v>0.37847222222222221</v>
      </c>
      <c r="C32" s="99"/>
      <c r="D32" s="67">
        <v>0.63888888888888884</v>
      </c>
      <c r="E32" s="68"/>
      <c r="F32" s="55">
        <v>2.0833333333333332E-2</v>
      </c>
      <c r="G32" s="55"/>
      <c r="H32" s="107">
        <f t="shared" si="1"/>
        <v>0.23958333333333329</v>
      </c>
      <c r="I32" s="55"/>
      <c r="J32" s="108"/>
      <c r="K32" s="55">
        <f t="shared" si="2"/>
        <v>0.26666666666666666</v>
      </c>
      <c r="L32" s="55"/>
      <c r="M32" s="55"/>
      <c r="N32" s="20" t="str">
        <f t="shared" si="0"/>
        <v>-0:39</v>
      </c>
      <c r="O32" s="73" t="s">
        <v>25</v>
      </c>
      <c r="P32" s="73"/>
      <c r="Q32" s="74"/>
      <c r="R32" s="21" t="b">
        <v>0</v>
      </c>
    </row>
    <row r="33" spans="1:18">
      <c r="A33" s="15">
        <v>45863</v>
      </c>
      <c r="B33" s="65">
        <v>0.28819444444444442</v>
      </c>
      <c r="C33" s="101"/>
      <c r="D33" s="65">
        <v>0.53125</v>
      </c>
      <c r="E33" s="66"/>
      <c r="F33" s="79"/>
      <c r="G33" s="79"/>
      <c r="H33" s="105">
        <f t="shared" si="1"/>
        <v>0.24305555555555558</v>
      </c>
      <c r="I33" s="79"/>
      <c r="J33" s="106"/>
      <c r="K33" s="79">
        <f t="shared" si="2"/>
        <v>0.26666666666666666</v>
      </c>
      <c r="L33" s="79"/>
      <c r="M33" s="79"/>
      <c r="N33" s="13" t="str">
        <f t="shared" si="0"/>
        <v>-0:34</v>
      </c>
      <c r="O33" s="71"/>
      <c r="P33" s="71"/>
      <c r="Q33" s="72"/>
      <c r="R33" s="14" t="b">
        <v>0</v>
      </c>
    </row>
    <row r="34" spans="1:18">
      <c r="A34" s="19">
        <v>45864</v>
      </c>
      <c r="B34" s="67"/>
      <c r="C34" s="99"/>
      <c r="D34" s="67"/>
      <c r="E34" s="68"/>
      <c r="F34" s="55"/>
      <c r="G34" s="55"/>
      <c r="H34" s="107"/>
      <c r="I34" s="55"/>
      <c r="J34" s="108"/>
      <c r="K34" s="55"/>
      <c r="L34" s="55"/>
      <c r="M34" s="55"/>
      <c r="N34" s="20" t="str">
        <f t="shared" si="0"/>
        <v>±0:00</v>
      </c>
      <c r="O34" s="73" t="s">
        <v>15</v>
      </c>
      <c r="P34" s="73"/>
      <c r="Q34" s="74"/>
      <c r="R34" s="21" t="b">
        <v>0</v>
      </c>
    </row>
    <row r="35" spans="1:18">
      <c r="A35" s="15">
        <v>45865</v>
      </c>
      <c r="B35" s="65"/>
      <c r="C35" s="101"/>
      <c r="D35" s="65"/>
      <c r="E35" s="66"/>
      <c r="F35" s="79"/>
      <c r="G35" s="79"/>
      <c r="H35" s="105"/>
      <c r="I35" s="79"/>
      <c r="J35" s="106"/>
      <c r="K35" s="79"/>
      <c r="L35" s="79"/>
      <c r="M35" s="79"/>
      <c r="N35" s="13" t="str">
        <f t="shared" si="0"/>
        <v>±0:00</v>
      </c>
      <c r="O35" s="71" t="s">
        <v>15</v>
      </c>
      <c r="P35" s="71"/>
      <c r="Q35" s="72"/>
      <c r="R35" s="14" t="b">
        <v>0</v>
      </c>
    </row>
    <row r="36" spans="1:18">
      <c r="A36" s="19">
        <v>45866</v>
      </c>
      <c r="B36" s="67">
        <v>0.28819444444444442</v>
      </c>
      <c r="C36" s="99"/>
      <c r="D36" s="67">
        <v>0.61458333333333337</v>
      </c>
      <c r="E36" s="68"/>
      <c r="F36" s="55">
        <v>8.3333333333333329E-2</v>
      </c>
      <c r="G36" s="55"/>
      <c r="H36" s="107">
        <f t="shared" si="1"/>
        <v>0.24305555555555564</v>
      </c>
      <c r="I36" s="55"/>
      <c r="J36" s="108"/>
      <c r="K36" s="55">
        <f t="shared" si="2"/>
        <v>0.26666666666666666</v>
      </c>
      <c r="L36" s="55"/>
      <c r="M36" s="55"/>
      <c r="N36" s="20" t="str">
        <f t="shared" si="0"/>
        <v>-0:34</v>
      </c>
      <c r="O36" s="73" t="s">
        <v>26</v>
      </c>
      <c r="P36" s="73"/>
      <c r="Q36" s="74"/>
      <c r="R36" s="21" t="b">
        <v>0</v>
      </c>
    </row>
    <row r="37" spans="1:18">
      <c r="A37" s="15">
        <v>45867</v>
      </c>
      <c r="B37" s="65">
        <v>0.28472222222222221</v>
      </c>
      <c r="C37" s="101"/>
      <c r="D37" s="65">
        <v>0.75</v>
      </c>
      <c r="E37" s="66"/>
      <c r="F37" s="79">
        <v>4.1666666666666664E-2</v>
      </c>
      <c r="G37" s="79"/>
      <c r="H37" s="105">
        <f t="shared" si="1"/>
        <v>0.4236111111111111</v>
      </c>
      <c r="I37" s="79"/>
      <c r="J37" s="106"/>
      <c r="K37" s="79">
        <f t="shared" si="2"/>
        <v>0.26666666666666666</v>
      </c>
      <c r="L37" s="79"/>
      <c r="M37" s="79"/>
      <c r="N37" s="13" t="str">
        <f t="shared" si="0"/>
        <v>+3:46</v>
      </c>
      <c r="O37" s="71"/>
      <c r="P37" s="71"/>
      <c r="Q37" s="72"/>
      <c r="R37" s="14" t="b">
        <v>0</v>
      </c>
    </row>
    <row r="38" spans="1:18">
      <c r="A38" s="19">
        <v>45868</v>
      </c>
      <c r="B38" s="67">
        <v>0.28472222222222221</v>
      </c>
      <c r="C38" s="99"/>
      <c r="D38" s="67">
        <v>0.5</v>
      </c>
      <c r="E38" s="68"/>
      <c r="F38" s="55"/>
      <c r="G38" s="55"/>
      <c r="H38" s="107">
        <f t="shared" si="1"/>
        <v>0.21527777777777779</v>
      </c>
      <c r="I38" s="55"/>
      <c r="J38" s="108"/>
      <c r="K38" s="55">
        <f t="shared" si="2"/>
        <v>0.26666666666666666</v>
      </c>
      <c r="L38" s="55"/>
      <c r="M38" s="55"/>
      <c r="N38" s="20" t="str">
        <f t="shared" si="0"/>
        <v>-1:14</v>
      </c>
      <c r="O38" s="73"/>
      <c r="P38" s="73"/>
      <c r="Q38" s="74"/>
      <c r="R38" s="21" t="b">
        <v>0</v>
      </c>
    </row>
    <row r="39" spans="1:18" ht="16.2" thickBot="1">
      <c r="A39" s="16">
        <v>45869</v>
      </c>
      <c r="B39" s="69">
        <v>0.28472222222222221</v>
      </c>
      <c r="C39" s="100"/>
      <c r="D39" s="69">
        <v>0.64930555555555558</v>
      </c>
      <c r="E39" s="70"/>
      <c r="F39" s="56">
        <v>7.2916666666666671E-2</v>
      </c>
      <c r="G39" s="56"/>
      <c r="H39" s="109">
        <f t="shared" si="1"/>
        <v>0.29166666666666669</v>
      </c>
      <c r="I39" s="56"/>
      <c r="J39" s="110"/>
      <c r="K39" s="56">
        <f t="shared" si="2"/>
        <v>0.26666666666666666</v>
      </c>
      <c r="L39" s="56"/>
      <c r="M39" s="56"/>
      <c r="N39" s="17" t="str">
        <f t="shared" si="0"/>
        <v>+0:36</v>
      </c>
      <c r="O39" s="97"/>
      <c r="P39" s="97"/>
      <c r="Q39" s="98"/>
      <c r="R39" s="18" t="b">
        <v>0</v>
      </c>
    </row>
    <row r="40" spans="1:18">
      <c r="A40" s="27" t="s">
        <v>20</v>
      </c>
      <c r="B40" s="28"/>
      <c r="C40" s="28"/>
      <c r="D40" s="28"/>
      <c r="E40" s="28"/>
      <c r="F40" s="29"/>
      <c r="G40" s="30"/>
      <c r="H40" s="34">
        <f>SUM(H9:J39)</f>
        <v>6.5465277777777766</v>
      </c>
      <c r="I40" s="35"/>
      <c r="J40" s="36"/>
      <c r="K40" s="40">
        <f>SUM(K9:M39)</f>
        <v>6.1333333333333329</v>
      </c>
      <c r="L40" s="41"/>
      <c r="M40" s="42"/>
    </row>
    <row r="41" spans="1:18" ht="16.2" thickBot="1">
      <c r="A41" s="31"/>
      <c r="B41" s="32"/>
      <c r="C41" s="32"/>
      <c r="D41" s="32"/>
      <c r="E41" s="32"/>
      <c r="F41" s="32"/>
      <c r="G41" s="33"/>
      <c r="H41" s="37"/>
      <c r="I41" s="38"/>
      <c r="J41" s="39"/>
      <c r="K41" s="37"/>
      <c r="L41" s="38"/>
      <c r="M41" s="39"/>
    </row>
    <row r="42" spans="1:18">
      <c r="A42" s="43" t="s">
        <v>21</v>
      </c>
      <c r="B42" s="44"/>
      <c r="C42" s="44"/>
      <c r="D42" s="44"/>
      <c r="E42" s="44"/>
      <c r="F42" s="44"/>
      <c r="G42" s="45"/>
      <c r="H42" s="49" t="str">
        <f>IF(Q5+H40-K40=0, "±0:00", TEXT(Q5+H40-K40, """+""[h]:mm;""-""[h]:mm"))</f>
        <v>+34:15</v>
      </c>
      <c r="I42" s="50"/>
      <c r="J42" s="51"/>
    </row>
    <row r="43" spans="1:18" ht="16.2" thickBot="1">
      <c r="A43" s="46"/>
      <c r="B43" s="47"/>
      <c r="C43" s="47"/>
      <c r="D43" s="47"/>
      <c r="E43" s="47"/>
      <c r="F43" s="47"/>
      <c r="G43" s="48"/>
      <c r="H43" s="52"/>
      <c r="I43" s="53"/>
      <c r="J43" s="54"/>
    </row>
  </sheetData>
  <mergeCells count="208">
    <mergeCell ref="O7:Q8"/>
    <mergeCell ref="K12:M12"/>
    <mergeCell ref="K13:M13"/>
    <mergeCell ref="A7:A8"/>
    <mergeCell ref="B7:C8"/>
    <mergeCell ref="D7:E8"/>
    <mergeCell ref="F7:G8"/>
    <mergeCell ref="H7:J8"/>
    <mergeCell ref="A5:C6"/>
    <mergeCell ref="D5:H6"/>
    <mergeCell ref="I5:K6"/>
    <mergeCell ref="L5:L6"/>
    <mergeCell ref="K36:M36"/>
    <mergeCell ref="K37:M37"/>
    <mergeCell ref="K26:M26"/>
    <mergeCell ref="K27:M27"/>
    <mergeCell ref="K28:M28"/>
    <mergeCell ref="K29:M29"/>
    <mergeCell ref="K24:M24"/>
    <mergeCell ref="K25:M25"/>
    <mergeCell ref="K14:M14"/>
    <mergeCell ref="K15:M15"/>
    <mergeCell ref="K16:M16"/>
    <mergeCell ref="K17:M17"/>
    <mergeCell ref="H19:J19"/>
    <mergeCell ref="H20:J20"/>
    <mergeCell ref="H21:J21"/>
    <mergeCell ref="H22:J22"/>
    <mergeCell ref="H9:J9"/>
    <mergeCell ref="H10:J10"/>
    <mergeCell ref="H11:J11"/>
    <mergeCell ref="H12:J12"/>
    <mergeCell ref="H13:J13"/>
    <mergeCell ref="H14:J14"/>
    <mergeCell ref="H15:J15"/>
    <mergeCell ref="H16:J16"/>
    <mergeCell ref="H35:J35"/>
    <mergeCell ref="H36:J36"/>
    <mergeCell ref="H37:J37"/>
    <mergeCell ref="H38:J38"/>
    <mergeCell ref="H39:J39"/>
    <mergeCell ref="F9:G9"/>
    <mergeCell ref="F10:G10"/>
    <mergeCell ref="F11:G11"/>
    <mergeCell ref="F12:G12"/>
    <mergeCell ref="F13:G13"/>
    <mergeCell ref="H29:J29"/>
    <mergeCell ref="H30:J30"/>
    <mergeCell ref="H31:J31"/>
    <mergeCell ref="H32:J32"/>
    <mergeCell ref="H33:J33"/>
    <mergeCell ref="H34:J34"/>
    <mergeCell ref="H23:J23"/>
    <mergeCell ref="H24:J24"/>
    <mergeCell ref="H25:J25"/>
    <mergeCell ref="H26:J26"/>
    <mergeCell ref="H27:J27"/>
    <mergeCell ref="H28:J28"/>
    <mergeCell ref="H17:J17"/>
    <mergeCell ref="H18:J18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F38:G38"/>
    <mergeCell ref="F39:G39"/>
    <mergeCell ref="D9:E9"/>
    <mergeCell ref="D10:E10"/>
    <mergeCell ref="B9:C9"/>
    <mergeCell ref="B10:C10"/>
    <mergeCell ref="B11:C11"/>
    <mergeCell ref="B12:C12"/>
    <mergeCell ref="B13:C1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38:C38"/>
    <mergeCell ref="B39:C39"/>
    <mergeCell ref="D11:E11"/>
    <mergeCell ref="D12:E12"/>
    <mergeCell ref="D13:E13"/>
    <mergeCell ref="D14:E14"/>
    <mergeCell ref="D15:E15"/>
    <mergeCell ref="D16:E16"/>
    <mergeCell ref="D17:E17"/>
    <mergeCell ref="D18:E18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A1:R4"/>
    <mergeCell ref="T1:V2"/>
    <mergeCell ref="O34:Q34"/>
    <mergeCell ref="O35:Q35"/>
    <mergeCell ref="O36:Q36"/>
    <mergeCell ref="O37:Q37"/>
    <mergeCell ref="O38:Q38"/>
    <mergeCell ref="O39:Q39"/>
    <mergeCell ref="O28:Q28"/>
    <mergeCell ref="O29:Q29"/>
    <mergeCell ref="O30:Q30"/>
    <mergeCell ref="O31:Q31"/>
    <mergeCell ref="O32:Q32"/>
    <mergeCell ref="O33:Q33"/>
    <mergeCell ref="O22:Q22"/>
    <mergeCell ref="O23:Q23"/>
    <mergeCell ref="O24:Q24"/>
    <mergeCell ref="O25:Q25"/>
    <mergeCell ref="O26:Q26"/>
    <mergeCell ref="O27:Q27"/>
    <mergeCell ref="O16:Q16"/>
    <mergeCell ref="O17:Q17"/>
    <mergeCell ref="O18:Q18"/>
    <mergeCell ref="O19:Q19"/>
    <mergeCell ref="R7:R8"/>
    <mergeCell ref="Q5:R6"/>
    <mergeCell ref="K30:M30"/>
    <mergeCell ref="K31:M31"/>
    <mergeCell ref="K32:M32"/>
    <mergeCell ref="K33:M33"/>
    <mergeCell ref="K34:M34"/>
    <mergeCell ref="K35:M35"/>
    <mergeCell ref="K18:M18"/>
    <mergeCell ref="K19:M19"/>
    <mergeCell ref="K20:M20"/>
    <mergeCell ref="K21:M21"/>
    <mergeCell ref="K22:M22"/>
    <mergeCell ref="K23:M23"/>
    <mergeCell ref="K7:M8"/>
    <mergeCell ref="K9:M9"/>
    <mergeCell ref="K10:M10"/>
    <mergeCell ref="K11:M11"/>
    <mergeCell ref="O20:Q20"/>
    <mergeCell ref="O21:Q21"/>
    <mergeCell ref="O9:Q9"/>
    <mergeCell ref="O10:Q10"/>
    <mergeCell ref="O11:Q11"/>
    <mergeCell ref="O12:Q12"/>
    <mergeCell ref="A40:G41"/>
    <mergeCell ref="H40:J41"/>
    <mergeCell ref="K40:M41"/>
    <mergeCell ref="A42:G43"/>
    <mergeCell ref="H42:J43"/>
    <mergeCell ref="K38:M38"/>
    <mergeCell ref="K39:M39"/>
    <mergeCell ref="N7:N8"/>
    <mergeCell ref="M5:P6"/>
    <mergeCell ref="D37:E37"/>
    <mergeCell ref="D38:E38"/>
    <mergeCell ref="D39:E39"/>
    <mergeCell ref="O13:Q13"/>
    <mergeCell ref="O14:Q14"/>
    <mergeCell ref="O15:Q15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</mergeCells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5BDE-BA5A-094B-83F1-14CFA85B1231}">
  <sheetPr>
    <pageSetUpPr fitToPage="1"/>
  </sheetPr>
  <dimension ref="A1:V43"/>
  <sheetViews>
    <sheetView workbookViewId="0">
      <selection activeCell="L46" sqref="L46"/>
    </sheetView>
  </sheetViews>
  <sheetFormatPr baseColWidth="10" defaultRowHeight="15.6"/>
  <sheetData>
    <row r="1" spans="1:22" ht="15.9" customHeight="1">
      <c r="A1" s="85" t="s">
        <v>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T1" s="91" t="s">
        <v>14</v>
      </c>
      <c r="U1" s="92"/>
      <c r="V1" s="93"/>
    </row>
    <row r="2" spans="1:22" ht="15.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T2" s="94"/>
      <c r="U2" s="95"/>
      <c r="V2" s="96"/>
    </row>
    <row r="3" spans="1:22" ht="15.9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T3" s="4" t="s">
        <v>2</v>
      </c>
      <c r="U3" s="3" t="s">
        <v>3</v>
      </c>
      <c r="V3" s="5" t="s">
        <v>4</v>
      </c>
    </row>
    <row r="4" spans="1:22" ht="17.100000000000001" customHeight="1" thickBot="1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T4" s="2" t="s">
        <v>9</v>
      </c>
      <c r="U4">
        <v>7</v>
      </c>
      <c r="V4" s="6">
        <v>14</v>
      </c>
    </row>
    <row r="5" spans="1:22" ht="15.9" customHeight="1">
      <c r="A5" s="113" t="s">
        <v>0</v>
      </c>
      <c r="B5" s="114"/>
      <c r="C5" s="115"/>
      <c r="D5" s="119" t="s">
        <v>17</v>
      </c>
      <c r="E5" s="120"/>
      <c r="F5" s="120"/>
      <c r="G5" s="120"/>
      <c r="H5" s="121"/>
      <c r="I5" s="119" t="s">
        <v>1</v>
      </c>
      <c r="J5" s="120"/>
      <c r="K5" s="121"/>
      <c r="L5" s="125">
        <v>32</v>
      </c>
      <c r="M5" s="59" t="s">
        <v>16</v>
      </c>
      <c r="N5" s="60"/>
      <c r="O5" s="60"/>
      <c r="P5" s="61"/>
      <c r="Q5" s="40">
        <v>1.4270833333333333</v>
      </c>
      <c r="R5" s="76"/>
      <c r="T5" s="2" t="s">
        <v>10</v>
      </c>
      <c r="U5">
        <v>7</v>
      </c>
      <c r="V5" s="6">
        <v>17</v>
      </c>
    </row>
    <row r="6" spans="1:22" ht="18.899999999999999" customHeight="1" thickBot="1">
      <c r="A6" s="116"/>
      <c r="B6" s="117"/>
      <c r="C6" s="118"/>
      <c r="D6" s="122"/>
      <c r="E6" s="123"/>
      <c r="F6" s="123"/>
      <c r="G6" s="123"/>
      <c r="H6" s="124"/>
      <c r="I6" s="122"/>
      <c r="J6" s="123"/>
      <c r="K6" s="124"/>
      <c r="L6" s="126"/>
      <c r="M6" s="62"/>
      <c r="N6" s="63"/>
      <c r="O6" s="63"/>
      <c r="P6" s="64"/>
      <c r="Q6" s="77"/>
      <c r="R6" s="78"/>
      <c r="T6" s="2" t="s">
        <v>11</v>
      </c>
      <c r="U6">
        <v>7</v>
      </c>
      <c r="V6" s="6">
        <v>14</v>
      </c>
    </row>
    <row r="7" spans="1:22" ht="15.9" customHeight="1">
      <c r="A7" s="57" t="s">
        <v>2</v>
      </c>
      <c r="B7" s="80" t="s">
        <v>3</v>
      </c>
      <c r="C7" s="42"/>
      <c r="D7" s="80" t="s">
        <v>4</v>
      </c>
      <c r="E7" s="42"/>
      <c r="F7" s="80" t="s">
        <v>5</v>
      </c>
      <c r="G7" s="42"/>
      <c r="H7" s="80" t="s">
        <v>6</v>
      </c>
      <c r="I7" s="41"/>
      <c r="J7" s="42"/>
      <c r="K7" s="80" t="s">
        <v>7</v>
      </c>
      <c r="L7" s="41"/>
      <c r="M7" s="42"/>
      <c r="N7" s="57" t="s">
        <v>18</v>
      </c>
      <c r="O7" s="80" t="s">
        <v>8</v>
      </c>
      <c r="P7" s="41"/>
      <c r="Q7" s="41"/>
      <c r="R7" s="57" t="s">
        <v>19</v>
      </c>
      <c r="S7" s="1"/>
      <c r="T7" s="2" t="s">
        <v>12</v>
      </c>
      <c r="U7">
        <v>7</v>
      </c>
      <c r="V7" s="6">
        <v>14</v>
      </c>
    </row>
    <row r="8" spans="1:22" ht="17.100000000000001" customHeight="1" thickBot="1">
      <c r="A8" s="58"/>
      <c r="B8" s="81"/>
      <c r="C8" s="36"/>
      <c r="D8" s="81"/>
      <c r="E8" s="36"/>
      <c r="F8" s="37"/>
      <c r="G8" s="39"/>
      <c r="H8" s="81"/>
      <c r="I8" s="35"/>
      <c r="J8" s="36"/>
      <c r="K8" s="81"/>
      <c r="L8" s="35"/>
      <c r="M8" s="36"/>
      <c r="N8" s="58"/>
      <c r="O8" s="81"/>
      <c r="P8" s="35"/>
      <c r="Q8" s="35"/>
      <c r="R8" s="75"/>
      <c r="S8" s="1"/>
      <c r="T8" s="7" t="s">
        <v>13</v>
      </c>
      <c r="U8" s="8">
        <v>7</v>
      </c>
      <c r="V8" s="9">
        <v>11</v>
      </c>
    </row>
    <row r="9" spans="1:22">
      <c r="A9" s="22">
        <v>45870</v>
      </c>
      <c r="B9" s="104"/>
      <c r="C9" s="104"/>
      <c r="D9" s="102"/>
      <c r="E9" s="103"/>
      <c r="F9" s="82"/>
      <c r="G9" s="82"/>
      <c r="H9" s="111">
        <f>IF(R9=TRUE, K9, IF(OR(ISBLANK(B9), ISBLANK(D9)), 0, IF(D9&gt;B9, D9-B9-F9, 1-B9+D9-F9)))</f>
        <v>0.26666666666666666</v>
      </c>
      <c r="I9" s="82"/>
      <c r="J9" s="112"/>
      <c r="K9" s="82">
        <f>IF(OR(WEEKDAY(A9,2)=6,WEEKDAY(A9,2)=7),0,($L$5/5)/24)</f>
        <v>0.26666666666666666</v>
      </c>
      <c r="L9" s="82"/>
      <c r="M9" s="82"/>
      <c r="N9" s="11" t="str">
        <f>IF(H9-K9=0, "±0:00", IF(H9-K9&gt;0, "+" &amp; TEXT(H9-K9, "[h]:mm"), "-" &amp; TEXT(ABS(H9-K9), "[h]:mm")))</f>
        <v>±0:00</v>
      </c>
      <c r="O9" s="83" t="s">
        <v>37</v>
      </c>
      <c r="P9" s="83"/>
      <c r="Q9" s="84"/>
      <c r="R9" s="12" t="b">
        <v>1</v>
      </c>
    </row>
    <row r="10" spans="1:22">
      <c r="A10" s="23">
        <v>45871</v>
      </c>
      <c r="B10" s="99"/>
      <c r="C10" s="99"/>
      <c r="D10" s="67"/>
      <c r="E10" s="68"/>
      <c r="F10" s="55"/>
      <c r="G10" s="55"/>
      <c r="H10" s="107"/>
      <c r="I10" s="55"/>
      <c r="J10" s="108"/>
      <c r="K10" s="55"/>
      <c r="L10" s="55"/>
      <c r="M10" s="55"/>
      <c r="N10" s="20" t="str">
        <f t="shared" ref="N10:N39" si="0">IF(H10-K10=0, "±0:00", IF(H10-K10&gt;0, "+" &amp; TEXT(H10-K10, "[h]:mm"), "-" &amp; TEXT(ABS(H10-K10), "[h]:mm")))</f>
        <v>±0:00</v>
      </c>
      <c r="O10" s="73" t="s">
        <v>15</v>
      </c>
      <c r="P10" s="73"/>
      <c r="Q10" s="74"/>
      <c r="R10" s="21" t="b">
        <v>0</v>
      </c>
    </row>
    <row r="11" spans="1:22">
      <c r="A11" s="24">
        <v>45872</v>
      </c>
      <c r="B11" s="101"/>
      <c r="C11" s="101"/>
      <c r="D11" s="65"/>
      <c r="E11" s="66"/>
      <c r="F11" s="79"/>
      <c r="G11" s="79"/>
      <c r="H11" s="105"/>
      <c r="I11" s="79"/>
      <c r="J11" s="106"/>
      <c r="K11" s="79"/>
      <c r="L11" s="79"/>
      <c r="M11" s="79"/>
      <c r="N11" s="13" t="str">
        <f t="shared" si="0"/>
        <v>±0:00</v>
      </c>
      <c r="O11" s="71" t="s">
        <v>15</v>
      </c>
      <c r="P11" s="71"/>
      <c r="Q11" s="72"/>
      <c r="R11" s="14" t="b">
        <v>0</v>
      </c>
    </row>
    <row r="12" spans="1:22">
      <c r="A12" s="23">
        <v>45873</v>
      </c>
      <c r="B12" s="99">
        <v>0.28819444444444442</v>
      </c>
      <c r="C12" s="99"/>
      <c r="D12" s="67">
        <v>0.54166666666666663</v>
      </c>
      <c r="E12" s="68"/>
      <c r="F12" s="55"/>
      <c r="G12" s="55"/>
      <c r="H12" s="107">
        <f t="shared" ref="H12:H37" si="1">IF(R12=TRUE, K12, IF(OR(ISBLANK(B12), ISBLANK(D12)), 0, IF(D12&gt;B12, D12-B12-F12, 1-B12+D12-F12)))</f>
        <v>0.25347222222222221</v>
      </c>
      <c r="I12" s="55"/>
      <c r="J12" s="108"/>
      <c r="K12" s="55">
        <f t="shared" ref="K12:K37" si="2">IF(OR(WEEKDAY(A12,2)=6,WEEKDAY(A12,2)=7),0,($L$5/5)/24)</f>
        <v>0.26666666666666666</v>
      </c>
      <c r="L12" s="55"/>
      <c r="M12" s="55"/>
      <c r="N12" s="20" t="str">
        <f t="shared" si="0"/>
        <v>-0:19</v>
      </c>
      <c r="O12" s="73" t="s">
        <v>38</v>
      </c>
      <c r="P12" s="73"/>
      <c r="Q12" s="74"/>
      <c r="R12" s="21" t="b">
        <v>0</v>
      </c>
    </row>
    <row r="13" spans="1:22">
      <c r="A13" s="24">
        <v>45874</v>
      </c>
      <c r="B13" s="101">
        <v>0.28819444444444442</v>
      </c>
      <c r="C13" s="101"/>
      <c r="D13" s="65">
        <v>0.77083333333333337</v>
      </c>
      <c r="E13" s="66"/>
      <c r="F13" s="79">
        <v>8.3333333333333329E-2</v>
      </c>
      <c r="G13" s="79"/>
      <c r="H13" s="105">
        <f t="shared" si="1"/>
        <v>0.39930555555555564</v>
      </c>
      <c r="I13" s="79"/>
      <c r="J13" s="106"/>
      <c r="K13" s="79">
        <f t="shared" si="2"/>
        <v>0.26666666666666666</v>
      </c>
      <c r="L13" s="79"/>
      <c r="M13" s="79"/>
      <c r="N13" s="13" t="str">
        <f t="shared" si="0"/>
        <v>+3:11</v>
      </c>
      <c r="O13" s="71" t="s">
        <v>39</v>
      </c>
      <c r="P13" s="71"/>
      <c r="Q13" s="72"/>
      <c r="R13" s="14" t="b">
        <v>0</v>
      </c>
    </row>
    <row r="14" spans="1:22">
      <c r="A14" s="23">
        <v>45875</v>
      </c>
      <c r="B14" s="99">
        <v>0.28819444444444442</v>
      </c>
      <c r="C14" s="99"/>
      <c r="D14" s="67">
        <v>0.69791666666666663</v>
      </c>
      <c r="E14" s="68"/>
      <c r="F14" s="55"/>
      <c r="G14" s="55"/>
      <c r="H14" s="107">
        <f t="shared" si="1"/>
        <v>0.40972222222222221</v>
      </c>
      <c r="I14" s="55"/>
      <c r="J14" s="108"/>
      <c r="K14" s="55">
        <f t="shared" si="2"/>
        <v>0.26666666666666666</v>
      </c>
      <c r="L14" s="55"/>
      <c r="M14" s="55"/>
      <c r="N14" s="20" t="str">
        <f t="shared" si="0"/>
        <v>+3:26</v>
      </c>
      <c r="O14" s="73" t="s">
        <v>40</v>
      </c>
      <c r="P14" s="73"/>
      <c r="Q14" s="74"/>
      <c r="R14" s="21" t="b">
        <v>0</v>
      </c>
    </row>
    <row r="15" spans="1:22">
      <c r="A15" s="24">
        <v>45876</v>
      </c>
      <c r="B15" s="101"/>
      <c r="C15" s="101"/>
      <c r="D15" s="65"/>
      <c r="E15" s="66"/>
      <c r="F15" s="79"/>
      <c r="G15" s="79"/>
      <c r="H15" s="105">
        <f t="shared" si="1"/>
        <v>0</v>
      </c>
      <c r="I15" s="79"/>
      <c r="J15" s="106"/>
      <c r="K15" s="79">
        <f t="shared" si="2"/>
        <v>0.26666666666666666</v>
      </c>
      <c r="L15" s="79"/>
      <c r="M15" s="79"/>
      <c r="N15" s="13" t="str">
        <f t="shared" si="0"/>
        <v>-6:24</v>
      </c>
      <c r="O15" s="71" t="s">
        <v>23</v>
      </c>
      <c r="P15" s="71"/>
      <c r="Q15" s="72"/>
      <c r="R15" s="14" t="b">
        <v>0</v>
      </c>
    </row>
    <row r="16" spans="1:22">
      <c r="A16" s="23">
        <v>45877</v>
      </c>
      <c r="B16" s="99">
        <v>0.28819444444444442</v>
      </c>
      <c r="C16" s="99"/>
      <c r="D16" s="67">
        <v>0.52083333333333337</v>
      </c>
      <c r="E16" s="68"/>
      <c r="F16" s="55"/>
      <c r="G16" s="55"/>
      <c r="H16" s="107">
        <f t="shared" si="1"/>
        <v>0.23263888888888895</v>
      </c>
      <c r="I16" s="55"/>
      <c r="J16" s="108"/>
      <c r="K16" s="55">
        <f t="shared" si="2"/>
        <v>0.26666666666666666</v>
      </c>
      <c r="L16" s="55"/>
      <c r="M16" s="55"/>
      <c r="N16" s="20" t="str">
        <f t="shared" si="0"/>
        <v>-0:49</v>
      </c>
      <c r="O16" s="73"/>
      <c r="P16" s="73"/>
      <c r="Q16" s="74"/>
      <c r="R16" s="21" t="b">
        <v>0</v>
      </c>
    </row>
    <row r="17" spans="1:18">
      <c r="A17" s="24">
        <v>45878</v>
      </c>
      <c r="B17" s="101"/>
      <c r="C17" s="101"/>
      <c r="D17" s="65"/>
      <c r="E17" s="66"/>
      <c r="F17" s="79"/>
      <c r="G17" s="79"/>
      <c r="H17" s="105"/>
      <c r="I17" s="79"/>
      <c r="J17" s="106"/>
      <c r="K17" s="79"/>
      <c r="L17" s="79"/>
      <c r="M17" s="79"/>
      <c r="N17" s="13" t="str">
        <f t="shared" si="0"/>
        <v>±0:00</v>
      </c>
      <c r="O17" s="71" t="s">
        <v>15</v>
      </c>
      <c r="P17" s="71"/>
      <c r="Q17" s="72"/>
      <c r="R17" s="14" t="b">
        <v>0</v>
      </c>
    </row>
    <row r="18" spans="1:18">
      <c r="A18" s="23">
        <v>45879</v>
      </c>
      <c r="B18" s="99"/>
      <c r="C18" s="99"/>
      <c r="D18" s="67"/>
      <c r="E18" s="68"/>
      <c r="F18" s="55"/>
      <c r="G18" s="55"/>
      <c r="H18" s="107"/>
      <c r="I18" s="55"/>
      <c r="J18" s="108"/>
      <c r="K18" s="55"/>
      <c r="L18" s="55"/>
      <c r="M18" s="55"/>
      <c r="N18" s="20" t="str">
        <f t="shared" si="0"/>
        <v>±0:00</v>
      </c>
      <c r="O18" s="73" t="s">
        <v>15</v>
      </c>
      <c r="P18" s="73"/>
      <c r="Q18" s="74"/>
      <c r="R18" s="21" t="b">
        <v>0</v>
      </c>
    </row>
    <row r="19" spans="1:18">
      <c r="A19" s="24">
        <v>45880</v>
      </c>
      <c r="B19" s="101">
        <v>0.29166666666666702</v>
      </c>
      <c r="C19" s="101"/>
      <c r="D19" s="65">
        <v>0.61111111111111116</v>
      </c>
      <c r="E19" s="66"/>
      <c r="F19" s="79">
        <v>2.0833333333333332E-2</v>
      </c>
      <c r="G19" s="79"/>
      <c r="H19" s="105">
        <f t="shared" si="1"/>
        <v>0.29861111111111083</v>
      </c>
      <c r="I19" s="79"/>
      <c r="J19" s="106"/>
      <c r="K19" s="79">
        <f t="shared" si="2"/>
        <v>0.26666666666666666</v>
      </c>
      <c r="L19" s="79"/>
      <c r="M19" s="79"/>
      <c r="N19" s="13" t="str">
        <f t="shared" si="0"/>
        <v>+0:46</v>
      </c>
      <c r="O19" s="71"/>
      <c r="P19" s="71"/>
      <c r="Q19" s="72"/>
      <c r="R19" s="14" t="b">
        <v>0</v>
      </c>
    </row>
    <row r="20" spans="1:18">
      <c r="A20" s="23">
        <v>45881</v>
      </c>
      <c r="B20" s="99">
        <v>0.2951388888888889</v>
      </c>
      <c r="C20" s="99"/>
      <c r="D20" s="67">
        <v>0.75</v>
      </c>
      <c r="E20" s="68"/>
      <c r="F20" s="55">
        <v>4.1666666666666664E-2</v>
      </c>
      <c r="G20" s="55"/>
      <c r="H20" s="107">
        <f t="shared" si="1"/>
        <v>0.41319444444444442</v>
      </c>
      <c r="I20" s="55"/>
      <c r="J20" s="108"/>
      <c r="K20" s="55">
        <f t="shared" si="2"/>
        <v>0.26666666666666666</v>
      </c>
      <c r="L20" s="55"/>
      <c r="M20" s="55"/>
      <c r="N20" s="20" t="str">
        <f t="shared" si="0"/>
        <v>+3:31</v>
      </c>
      <c r="O20" s="73"/>
      <c r="P20" s="73"/>
      <c r="Q20" s="74"/>
      <c r="R20" s="21" t="b">
        <v>0</v>
      </c>
    </row>
    <row r="21" spans="1:18">
      <c r="A21" s="24">
        <v>45882</v>
      </c>
      <c r="B21" s="101">
        <v>0.28819444444444442</v>
      </c>
      <c r="C21" s="101"/>
      <c r="D21" s="65">
        <v>0.63194444444444442</v>
      </c>
      <c r="E21" s="66"/>
      <c r="F21" s="79">
        <v>2.0833333333333332E-2</v>
      </c>
      <c r="G21" s="79"/>
      <c r="H21" s="105">
        <f t="shared" si="1"/>
        <v>0.32291666666666669</v>
      </c>
      <c r="I21" s="79"/>
      <c r="J21" s="106"/>
      <c r="K21" s="79">
        <f t="shared" si="2"/>
        <v>0.26666666666666666</v>
      </c>
      <c r="L21" s="79"/>
      <c r="M21" s="79"/>
      <c r="N21" s="13" t="str">
        <f t="shared" si="0"/>
        <v>+1:21</v>
      </c>
      <c r="O21" s="71"/>
      <c r="P21" s="71"/>
      <c r="Q21" s="72"/>
      <c r="R21" s="14" t="b">
        <v>0</v>
      </c>
    </row>
    <row r="22" spans="1:18">
      <c r="A22" s="23">
        <v>45883</v>
      </c>
      <c r="B22" s="99">
        <v>0.28819444444444442</v>
      </c>
      <c r="C22" s="99"/>
      <c r="D22" s="67">
        <v>0.61458333333333337</v>
      </c>
      <c r="E22" s="68"/>
      <c r="F22" s="55">
        <v>2.0833333333333332E-2</v>
      </c>
      <c r="G22" s="55"/>
      <c r="H22" s="107">
        <f t="shared" si="1"/>
        <v>0.30555555555555564</v>
      </c>
      <c r="I22" s="55"/>
      <c r="J22" s="108"/>
      <c r="K22" s="55">
        <f t="shared" si="2"/>
        <v>0.26666666666666666</v>
      </c>
      <c r="L22" s="55"/>
      <c r="M22" s="55"/>
      <c r="N22" s="20" t="str">
        <f t="shared" si="0"/>
        <v>+0:56</v>
      </c>
      <c r="O22" s="73"/>
      <c r="P22" s="73"/>
      <c r="Q22" s="74"/>
      <c r="R22" s="21" t="b">
        <v>0</v>
      </c>
    </row>
    <row r="23" spans="1:18">
      <c r="A23" s="24">
        <v>45884</v>
      </c>
      <c r="B23" s="101">
        <v>0.28472222222222221</v>
      </c>
      <c r="C23" s="101"/>
      <c r="D23" s="65">
        <v>0.54166666666666663</v>
      </c>
      <c r="E23" s="66"/>
      <c r="F23" s="79"/>
      <c r="G23" s="79"/>
      <c r="H23" s="105">
        <f t="shared" si="1"/>
        <v>0.25694444444444442</v>
      </c>
      <c r="I23" s="79"/>
      <c r="J23" s="106"/>
      <c r="K23" s="79">
        <f t="shared" si="2"/>
        <v>0.26666666666666666</v>
      </c>
      <c r="L23" s="79"/>
      <c r="M23" s="79"/>
      <c r="N23" s="13" t="str">
        <f t="shared" si="0"/>
        <v>-0:14</v>
      </c>
      <c r="O23" s="71" t="s">
        <v>41</v>
      </c>
      <c r="P23" s="71"/>
      <c r="Q23" s="72"/>
      <c r="R23" s="14" t="b">
        <v>0</v>
      </c>
    </row>
    <row r="24" spans="1:18">
      <c r="A24" s="23">
        <v>45885</v>
      </c>
      <c r="B24" s="99"/>
      <c r="C24" s="99"/>
      <c r="D24" s="67"/>
      <c r="E24" s="68"/>
      <c r="F24" s="55"/>
      <c r="G24" s="55"/>
      <c r="H24" s="107"/>
      <c r="I24" s="55"/>
      <c r="J24" s="108"/>
      <c r="K24" s="55"/>
      <c r="L24" s="55"/>
      <c r="M24" s="55"/>
      <c r="N24" s="20" t="str">
        <f t="shared" si="0"/>
        <v>±0:00</v>
      </c>
      <c r="O24" s="73" t="s">
        <v>15</v>
      </c>
      <c r="P24" s="73"/>
      <c r="Q24" s="74"/>
      <c r="R24" s="21" t="b">
        <v>0</v>
      </c>
    </row>
    <row r="25" spans="1:18">
      <c r="A25" s="24">
        <v>45886</v>
      </c>
      <c r="B25" s="101"/>
      <c r="C25" s="101"/>
      <c r="D25" s="65"/>
      <c r="E25" s="66"/>
      <c r="F25" s="79"/>
      <c r="G25" s="79"/>
      <c r="H25" s="105"/>
      <c r="I25" s="79"/>
      <c r="J25" s="106"/>
      <c r="K25" s="79"/>
      <c r="L25" s="79"/>
      <c r="M25" s="79"/>
      <c r="N25" s="13" t="str">
        <f t="shared" si="0"/>
        <v>±0:00</v>
      </c>
      <c r="O25" s="71" t="s">
        <v>15</v>
      </c>
      <c r="P25" s="71"/>
      <c r="Q25" s="72"/>
      <c r="R25" s="14" t="b">
        <v>0</v>
      </c>
    </row>
    <row r="26" spans="1:18">
      <c r="A26" s="23">
        <v>45887</v>
      </c>
      <c r="B26" s="99">
        <v>0.28819444444444442</v>
      </c>
      <c r="C26" s="99"/>
      <c r="D26" s="67">
        <v>0.60416666666666663</v>
      </c>
      <c r="E26" s="68"/>
      <c r="F26" s="55">
        <v>2.0833333333333332E-2</v>
      </c>
      <c r="G26" s="55"/>
      <c r="H26" s="107">
        <f t="shared" si="1"/>
        <v>0.2951388888888889</v>
      </c>
      <c r="I26" s="55"/>
      <c r="J26" s="108"/>
      <c r="K26" s="55">
        <f t="shared" si="2"/>
        <v>0.26666666666666666</v>
      </c>
      <c r="L26" s="55"/>
      <c r="M26" s="55"/>
      <c r="N26" s="20" t="str">
        <f t="shared" si="0"/>
        <v>+0:41</v>
      </c>
      <c r="O26" s="73"/>
      <c r="P26" s="73"/>
      <c r="Q26" s="74"/>
      <c r="R26" s="21" t="b">
        <v>0</v>
      </c>
    </row>
    <row r="27" spans="1:18">
      <c r="A27" s="24">
        <v>45888</v>
      </c>
      <c r="B27" s="101">
        <v>0.28472222222222221</v>
      </c>
      <c r="C27" s="101"/>
      <c r="D27" s="65">
        <v>0.75</v>
      </c>
      <c r="E27" s="66"/>
      <c r="F27" s="79">
        <v>9.375E-2</v>
      </c>
      <c r="G27" s="79"/>
      <c r="H27" s="105">
        <f t="shared" si="1"/>
        <v>0.37152777777777779</v>
      </c>
      <c r="I27" s="79"/>
      <c r="J27" s="106"/>
      <c r="K27" s="79">
        <f t="shared" si="2"/>
        <v>0.26666666666666666</v>
      </c>
      <c r="L27" s="79"/>
      <c r="M27" s="79"/>
      <c r="N27" s="13" t="str">
        <f t="shared" si="0"/>
        <v>+2:31</v>
      </c>
      <c r="O27" s="101" t="s">
        <v>39</v>
      </c>
      <c r="P27" s="71"/>
      <c r="Q27" s="72"/>
      <c r="R27" s="14" t="b">
        <v>0</v>
      </c>
    </row>
    <row r="28" spans="1:18">
      <c r="A28" s="23">
        <v>45889</v>
      </c>
      <c r="B28" s="99">
        <v>0.29166666666666702</v>
      </c>
      <c r="C28" s="99"/>
      <c r="D28" s="67">
        <v>0.56944444444444442</v>
      </c>
      <c r="E28" s="68"/>
      <c r="F28" s="55">
        <v>2.0833333333333332E-2</v>
      </c>
      <c r="G28" s="55"/>
      <c r="H28" s="107">
        <f t="shared" si="1"/>
        <v>0.25694444444444409</v>
      </c>
      <c r="I28" s="55"/>
      <c r="J28" s="108"/>
      <c r="K28" s="55">
        <f t="shared" si="2"/>
        <v>0.26666666666666666</v>
      </c>
      <c r="L28" s="55"/>
      <c r="M28" s="55"/>
      <c r="N28" s="20" t="str">
        <f t="shared" si="0"/>
        <v>-0:14</v>
      </c>
      <c r="O28" s="73"/>
      <c r="P28" s="73"/>
      <c r="Q28" s="74"/>
      <c r="R28" s="21" t="b">
        <v>0</v>
      </c>
    </row>
    <row r="29" spans="1:18">
      <c r="A29" s="24">
        <v>45890</v>
      </c>
      <c r="B29" s="101">
        <v>0.28819444444444442</v>
      </c>
      <c r="C29" s="101"/>
      <c r="D29" s="65">
        <v>0.625</v>
      </c>
      <c r="E29" s="66"/>
      <c r="F29" s="79">
        <v>5.2083333333333336E-2</v>
      </c>
      <c r="G29" s="79"/>
      <c r="H29" s="105">
        <f t="shared" si="1"/>
        <v>0.28472222222222227</v>
      </c>
      <c r="I29" s="79"/>
      <c r="J29" s="106"/>
      <c r="K29" s="79">
        <f t="shared" si="2"/>
        <v>0.26666666666666666</v>
      </c>
      <c r="L29" s="79"/>
      <c r="M29" s="79"/>
      <c r="N29" s="13" t="str">
        <f t="shared" si="0"/>
        <v>+0:26</v>
      </c>
      <c r="O29" s="71"/>
      <c r="P29" s="71"/>
      <c r="Q29" s="72"/>
      <c r="R29" s="14" t="b">
        <v>0</v>
      </c>
    </row>
    <row r="30" spans="1:18">
      <c r="A30" s="23">
        <v>45891</v>
      </c>
      <c r="B30" s="99">
        <v>0.29166666666666702</v>
      </c>
      <c r="C30" s="99"/>
      <c r="D30" s="67">
        <v>0.46875</v>
      </c>
      <c r="E30" s="68"/>
      <c r="F30" s="55"/>
      <c r="G30" s="55"/>
      <c r="H30" s="107">
        <f t="shared" si="1"/>
        <v>0.17708333333333298</v>
      </c>
      <c r="I30" s="55"/>
      <c r="J30" s="108"/>
      <c r="K30" s="55">
        <f t="shared" si="2"/>
        <v>0.26666666666666666</v>
      </c>
      <c r="L30" s="55"/>
      <c r="M30" s="55"/>
      <c r="N30" s="20" t="str">
        <f t="shared" si="0"/>
        <v>-2:09</v>
      </c>
      <c r="O30" s="73"/>
      <c r="P30" s="73"/>
      <c r="Q30" s="74"/>
      <c r="R30" s="21" t="b">
        <v>0</v>
      </c>
    </row>
    <row r="31" spans="1:18">
      <c r="A31" s="24">
        <v>45892</v>
      </c>
      <c r="B31" s="101"/>
      <c r="C31" s="101"/>
      <c r="D31" s="65"/>
      <c r="E31" s="66"/>
      <c r="F31" s="79"/>
      <c r="G31" s="79"/>
      <c r="H31" s="105"/>
      <c r="I31" s="79"/>
      <c r="J31" s="106"/>
      <c r="K31" s="79"/>
      <c r="L31" s="79"/>
      <c r="M31" s="79"/>
      <c r="N31" s="13" t="str">
        <f t="shared" si="0"/>
        <v>±0:00</v>
      </c>
      <c r="O31" s="71" t="s">
        <v>15</v>
      </c>
      <c r="P31" s="71"/>
      <c r="Q31" s="72"/>
      <c r="R31" s="14" t="b">
        <v>0</v>
      </c>
    </row>
    <row r="32" spans="1:18">
      <c r="A32" s="23">
        <v>45893</v>
      </c>
      <c r="B32" s="99"/>
      <c r="C32" s="99"/>
      <c r="D32" s="67"/>
      <c r="E32" s="68"/>
      <c r="F32" s="55"/>
      <c r="G32" s="55"/>
      <c r="H32" s="107"/>
      <c r="I32" s="55"/>
      <c r="J32" s="108"/>
      <c r="K32" s="55"/>
      <c r="L32" s="55"/>
      <c r="M32" s="55"/>
      <c r="N32" s="20" t="str">
        <f t="shared" si="0"/>
        <v>±0:00</v>
      </c>
      <c r="O32" s="73" t="s">
        <v>15</v>
      </c>
      <c r="P32" s="73"/>
      <c r="Q32" s="74"/>
      <c r="R32" s="21" t="b">
        <v>0</v>
      </c>
    </row>
    <row r="33" spans="1:18">
      <c r="A33" s="24">
        <v>45894</v>
      </c>
      <c r="B33" s="101">
        <v>0.28819444444444442</v>
      </c>
      <c r="C33" s="101"/>
      <c r="D33" s="65">
        <v>0.63888888888888884</v>
      </c>
      <c r="E33" s="66"/>
      <c r="F33" s="79">
        <v>2.0833333333333332E-2</v>
      </c>
      <c r="G33" s="79"/>
      <c r="H33" s="105">
        <f t="shared" si="1"/>
        <v>0.3298611111111111</v>
      </c>
      <c r="I33" s="79"/>
      <c r="J33" s="106"/>
      <c r="K33" s="79">
        <f t="shared" si="2"/>
        <v>0.26666666666666666</v>
      </c>
      <c r="L33" s="79"/>
      <c r="M33" s="79"/>
      <c r="N33" s="13" t="str">
        <f t="shared" si="0"/>
        <v>+1:31</v>
      </c>
      <c r="O33" s="71"/>
      <c r="P33" s="71"/>
      <c r="Q33" s="72"/>
      <c r="R33" s="14" t="b">
        <v>0</v>
      </c>
    </row>
    <row r="34" spans="1:18">
      <c r="A34" s="23">
        <v>45895</v>
      </c>
      <c r="B34" s="99">
        <v>0.29166666666666702</v>
      </c>
      <c r="C34" s="99"/>
      <c r="D34" s="67">
        <v>0.75</v>
      </c>
      <c r="E34" s="68"/>
      <c r="F34" s="55">
        <v>9.375E-2</v>
      </c>
      <c r="G34" s="55"/>
      <c r="H34" s="107">
        <f t="shared" si="1"/>
        <v>0.36458333333333298</v>
      </c>
      <c r="I34" s="55"/>
      <c r="J34" s="108"/>
      <c r="K34" s="55">
        <f t="shared" si="2"/>
        <v>0.26666666666666666</v>
      </c>
      <c r="L34" s="55"/>
      <c r="M34" s="55"/>
      <c r="N34" s="20" t="str">
        <f t="shared" si="0"/>
        <v>+2:21</v>
      </c>
      <c r="O34" s="73" t="s">
        <v>39</v>
      </c>
      <c r="P34" s="73"/>
      <c r="Q34" s="74"/>
      <c r="R34" s="21" t="b">
        <v>0</v>
      </c>
    </row>
    <row r="35" spans="1:18">
      <c r="A35" s="24">
        <v>45896</v>
      </c>
      <c r="B35" s="101">
        <v>0.28819444444444442</v>
      </c>
      <c r="C35" s="101"/>
      <c r="D35" s="65">
        <v>0.60069444444444442</v>
      </c>
      <c r="E35" s="66"/>
      <c r="F35" s="79">
        <v>2.0833333333333332E-2</v>
      </c>
      <c r="G35" s="79"/>
      <c r="H35" s="105">
        <f t="shared" si="1"/>
        <v>0.29166666666666669</v>
      </c>
      <c r="I35" s="79"/>
      <c r="J35" s="106"/>
      <c r="K35" s="79">
        <f t="shared" si="2"/>
        <v>0.26666666666666666</v>
      </c>
      <c r="L35" s="79"/>
      <c r="M35" s="79"/>
      <c r="N35" s="13" t="str">
        <f t="shared" si="0"/>
        <v>+0:36</v>
      </c>
      <c r="O35" s="71"/>
      <c r="P35" s="71"/>
      <c r="Q35" s="72"/>
      <c r="R35" s="14" t="b">
        <v>0</v>
      </c>
    </row>
    <row r="36" spans="1:18">
      <c r="A36" s="23">
        <v>45897</v>
      </c>
      <c r="B36" s="99">
        <v>0.28819444444444442</v>
      </c>
      <c r="C36" s="99"/>
      <c r="D36" s="67">
        <v>0.63194444444444442</v>
      </c>
      <c r="E36" s="68"/>
      <c r="F36" s="55">
        <v>2.0833333333333332E-2</v>
      </c>
      <c r="G36" s="55"/>
      <c r="H36" s="107">
        <f t="shared" si="1"/>
        <v>0.32291666666666669</v>
      </c>
      <c r="I36" s="55"/>
      <c r="J36" s="108"/>
      <c r="K36" s="55">
        <f t="shared" si="2"/>
        <v>0.26666666666666666</v>
      </c>
      <c r="L36" s="55"/>
      <c r="M36" s="55"/>
      <c r="N36" s="20" t="str">
        <f t="shared" si="0"/>
        <v>+1:21</v>
      </c>
      <c r="O36" s="73"/>
      <c r="P36" s="73"/>
      <c r="Q36" s="74"/>
      <c r="R36" s="21" t="b">
        <v>0</v>
      </c>
    </row>
    <row r="37" spans="1:18">
      <c r="A37" s="24">
        <v>45898</v>
      </c>
      <c r="B37" s="101">
        <v>0.28472222222222221</v>
      </c>
      <c r="C37" s="101"/>
      <c r="D37" s="65">
        <v>0.42708333333333331</v>
      </c>
      <c r="E37" s="66"/>
      <c r="F37" s="79"/>
      <c r="G37" s="79"/>
      <c r="H37" s="105">
        <f t="shared" si="1"/>
        <v>0.1423611111111111</v>
      </c>
      <c r="I37" s="79"/>
      <c r="J37" s="106"/>
      <c r="K37" s="79">
        <f t="shared" si="2"/>
        <v>0.26666666666666666</v>
      </c>
      <c r="L37" s="79"/>
      <c r="M37" s="79"/>
      <c r="N37" s="13" t="str">
        <f t="shared" si="0"/>
        <v>-2:59</v>
      </c>
      <c r="O37" s="71"/>
      <c r="P37" s="71"/>
      <c r="Q37" s="72"/>
      <c r="R37" s="14" t="b">
        <v>0</v>
      </c>
    </row>
    <row r="38" spans="1:18">
      <c r="A38" s="23">
        <v>45899</v>
      </c>
      <c r="B38" s="99"/>
      <c r="C38" s="99"/>
      <c r="D38" s="67"/>
      <c r="E38" s="68"/>
      <c r="F38" s="55"/>
      <c r="G38" s="55"/>
      <c r="H38" s="107"/>
      <c r="I38" s="55"/>
      <c r="J38" s="108"/>
      <c r="K38" s="55"/>
      <c r="L38" s="55"/>
      <c r="M38" s="55"/>
      <c r="N38" s="20"/>
      <c r="O38" s="73" t="s">
        <v>15</v>
      </c>
      <c r="P38" s="73"/>
      <c r="Q38" s="74"/>
      <c r="R38" s="21" t="b">
        <v>0</v>
      </c>
    </row>
    <row r="39" spans="1:18" ht="16.2" thickBot="1">
      <c r="A39" s="25">
        <v>45900</v>
      </c>
      <c r="B39" s="100"/>
      <c r="C39" s="100"/>
      <c r="D39" s="69"/>
      <c r="E39" s="70"/>
      <c r="F39" s="56"/>
      <c r="G39" s="56"/>
      <c r="H39" s="109"/>
      <c r="I39" s="56"/>
      <c r="J39" s="110"/>
      <c r="K39" s="56"/>
      <c r="L39" s="56"/>
      <c r="M39" s="56"/>
      <c r="N39" s="17" t="str">
        <f t="shared" si="0"/>
        <v>±0:00</v>
      </c>
      <c r="O39" s="97" t="s">
        <v>15</v>
      </c>
      <c r="P39" s="97"/>
      <c r="Q39" s="98"/>
      <c r="R39" s="18" t="b">
        <v>0</v>
      </c>
    </row>
    <row r="40" spans="1:18">
      <c r="A40" s="127" t="s">
        <v>20</v>
      </c>
      <c r="B40" s="28"/>
      <c r="C40" s="28"/>
      <c r="D40" s="28"/>
      <c r="E40" s="28"/>
      <c r="F40" s="29"/>
      <c r="G40" s="30"/>
      <c r="H40" s="34">
        <f>SUM(H9:J39)</f>
        <v>5.9958333333333318</v>
      </c>
      <c r="I40" s="35"/>
      <c r="J40" s="36"/>
      <c r="K40" s="40">
        <f>SUM(K9:M39)</f>
        <v>5.6</v>
      </c>
      <c r="L40" s="41"/>
      <c r="M40" s="42"/>
    </row>
    <row r="41" spans="1:18" ht="16.2" thickBot="1">
      <c r="A41" s="31"/>
      <c r="B41" s="32"/>
      <c r="C41" s="32"/>
      <c r="D41" s="32"/>
      <c r="E41" s="32"/>
      <c r="F41" s="32"/>
      <c r="G41" s="33"/>
      <c r="H41" s="37"/>
      <c r="I41" s="38"/>
      <c r="J41" s="39"/>
      <c r="K41" s="37"/>
      <c r="L41" s="38"/>
      <c r="M41" s="39"/>
    </row>
    <row r="42" spans="1:18">
      <c r="A42" s="43" t="s">
        <v>21</v>
      </c>
      <c r="B42" s="44"/>
      <c r="C42" s="44"/>
      <c r="D42" s="44"/>
      <c r="E42" s="44"/>
      <c r="F42" s="44"/>
      <c r="G42" s="45"/>
      <c r="H42" s="49" t="str">
        <f>IF(Q5+H40-K40=0, "±0:00", TEXT(Q5+H40-K40, """+""[h]:mm;""-""[h]:mm"))</f>
        <v>+43:45</v>
      </c>
      <c r="I42" s="50"/>
      <c r="J42" s="51"/>
    </row>
    <row r="43" spans="1:18" ht="16.2" thickBot="1">
      <c r="A43" s="46"/>
      <c r="B43" s="47"/>
      <c r="C43" s="47"/>
      <c r="D43" s="47"/>
      <c r="E43" s="47"/>
      <c r="F43" s="47"/>
      <c r="G43" s="48"/>
      <c r="H43" s="52"/>
      <c r="I43" s="53"/>
      <c r="J43" s="54"/>
    </row>
  </sheetData>
  <mergeCells count="208"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790B-FC61-8346-8B5A-3C6FC6166CEC}">
  <sheetPr>
    <pageSetUpPr fitToPage="1"/>
  </sheetPr>
  <dimension ref="A1:V44"/>
  <sheetViews>
    <sheetView topLeftCell="A6" zoomScale="85" zoomScaleNormal="85" workbookViewId="0">
      <selection activeCell="T27" sqref="T27"/>
    </sheetView>
  </sheetViews>
  <sheetFormatPr baseColWidth="10" defaultRowHeight="15.6"/>
  <sheetData>
    <row r="1" spans="1:22" ht="15.9" customHeight="1">
      <c r="A1" s="85" t="s">
        <v>29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T1" s="91" t="s">
        <v>14</v>
      </c>
      <c r="U1" s="92"/>
      <c r="V1" s="93"/>
    </row>
    <row r="2" spans="1:22" ht="15.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T2" s="94"/>
      <c r="U2" s="95"/>
      <c r="V2" s="96"/>
    </row>
    <row r="3" spans="1:22" ht="15.9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T3" s="4" t="s">
        <v>2</v>
      </c>
      <c r="U3" s="3" t="s">
        <v>3</v>
      </c>
      <c r="V3" s="5" t="s">
        <v>4</v>
      </c>
    </row>
    <row r="4" spans="1:22" ht="17.100000000000001" customHeight="1" thickBot="1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30"/>
      <c r="T4" s="2" t="s">
        <v>9</v>
      </c>
      <c r="U4">
        <v>7</v>
      </c>
      <c r="V4" s="6">
        <v>14</v>
      </c>
    </row>
    <row r="5" spans="1:22" ht="15.9" customHeight="1">
      <c r="A5" s="113" t="s">
        <v>0</v>
      </c>
      <c r="B5" s="114"/>
      <c r="C5" s="115"/>
      <c r="D5" s="119" t="s">
        <v>17</v>
      </c>
      <c r="E5" s="120"/>
      <c r="F5" s="120"/>
      <c r="G5" s="120"/>
      <c r="H5" s="121"/>
      <c r="I5" s="119" t="s">
        <v>1</v>
      </c>
      <c r="J5" s="120"/>
      <c r="K5" s="121"/>
      <c r="L5" s="125">
        <v>32</v>
      </c>
      <c r="M5" s="59" t="s">
        <v>16</v>
      </c>
      <c r="N5" s="60"/>
      <c r="O5" s="60"/>
      <c r="P5" s="61"/>
      <c r="Q5" s="40">
        <v>1.8229166666666667</v>
      </c>
      <c r="R5" s="76"/>
      <c r="T5" s="2" t="s">
        <v>10</v>
      </c>
      <c r="U5">
        <v>7</v>
      </c>
      <c r="V5" s="6">
        <v>17</v>
      </c>
    </row>
    <row r="6" spans="1:22" ht="18.899999999999999" customHeight="1" thickBot="1">
      <c r="A6" s="116"/>
      <c r="B6" s="117"/>
      <c r="C6" s="118"/>
      <c r="D6" s="122"/>
      <c r="E6" s="123"/>
      <c r="F6" s="123"/>
      <c r="G6" s="123"/>
      <c r="H6" s="124"/>
      <c r="I6" s="122"/>
      <c r="J6" s="123"/>
      <c r="K6" s="124"/>
      <c r="L6" s="126"/>
      <c r="M6" s="62"/>
      <c r="N6" s="63"/>
      <c r="O6" s="63"/>
      <c r="P6" s="64"/>
      <c r="Q6" s="77"/>
      <c r="R6" s="78"/>
      <c r="T6" s="2" t="s">
        <v>11</v>
      </c>
      <c r="U6">
        <v>7</v>
      </c>
      <c r="V6" s="6">
        <v>14</v>
      </c>
    </row>
    <row r="7" spans="1:22" ht="15.9" customHeight="1">
      <c r="A7" s="57" t="s">
        <v>2</v>
      </c>
      <c r="B7" s="80" t="s">
        <v>3</v>
      </c>
      <c r="C7" s="42"/>
      <c r="D7" s="80" t="s">
        <v>4</v>
      </c>
      <c r="E7" s="42"/>
      <c r="F7" s="80" t="s">
        <v>5</v>
      </c>
      <c r="G7" s="42"/>
      <c r="H7" s="80" t="s">
        <v>6</v>
      </c>
      <c r="I7" s="41"/>
      <c r="J7" s="42"/>
      <c r="K7" s="80" t="s">
        <v>7</v>
      </c>
      <c r="L7" s="41"/>
      <c r="M7" s="42"/>
      <c r="N7" s="57" t="s">
        <v>18</v>
      </c>
      <c r="O7" s="80" t="s">
        <v>8</v>
      </c>
      <c r="P7" s="41"/>
      <c r="Q7" s="41"/>
      <c r="R7" s="57" t="s">
        <v>19</v>
      </c>
      <c r="S7" s="1"/>
      <c r="T7" s="2" t="s">
        <v>12</v>
      </c>
      <c r="U7">
        <v>7</v>
      </c>
      <c r="V7" s="6">
        <v>14</v>
      </c>
    </row>
    <row r="8" spans="1:22" ht="17.100000000000001" customHeight="1" thickBot="1">
      <c r="A8" s="58"/>
      <c r="B8" s="81"/>
      <c r="C8" s="36"/>
      <c r="D8" s="81"/>
      <c r="E8" s="36"/>
      <c r="F8" s="37"/>
      <c r="G8" s="39"/>
      <c r="H8" s="81"/>
      <c r="I8" s="35"/>
      <c r="J8" s="36"/>
      <c r="K8" s="81"/>
      <c r="L8" s="35"/>
      <c r="M8" s="36"/>
      <c r="N8" s="58"/>
      <c r="O8" s="81"/>
      <c r="P8" s="35"/>
      <c r="Q8" s="35"/>
      <c r="R8" s="75"/>
      <c r="S8" s="1"/>
      <c r="T8" s="7" t="s">
        <v>13</v>
      </c>
      <c r="U8" s="8">
        <v>7</v>
      </c>
      <c r="V8" s="9">
        <v>11</v>
      </c>
    </row>
    <row r="9" spans="1:22">
      <c r="A9" s="22">
        <v>45901</v>
      </c>
      <c r="B9" s="104">
        <v>0.29166666666666669</v>
      </c>
      <c r="C9" s="104"/>
      <c r="D9" s="102">
        <v>0.625</v>
      </c>
      <c r="E9" s="103"/>
      <c r="F9" s="82">
        <v>2.0833333333333332E-2</v>
      </c>
      <c r="G9" s="82"/>
      <c r="H9" s="111">
        <f>IF(R9=TRUE, K9, IF(OR(ISBLANK(B9), ISBLANK(D9)), 0, IF(D9&gt;B9, D9-B9-F9, 1-B9+D9-F9)))</f>
        <v>0.3125</v>
      </c>
      <c r="I9" s="82"/>
      <c r="J9" s="112"/>
      <c r="K9" s="82">
        <f>IF(OR(WEEKDAY(A9,2)=6,WEEKDAY(A9,2)=7),0,($L$5/5)/24)</f>
        <v>0.26666666666666666</v>
      </c>
      <c r="L9" s="82"/>
      <c r="M9" s="82"/>
      <c r="N9" s="11" t="str">
        <f>IF(H9-K9=0, "±0:00", IF(H9-K9&gt;0, "+" &amp; TEXT(H9-K9, "[h]:mm"), "-" &amp; TEXT(ABS(H9-K9), "[h]:mm")))</f>
        <v>+1:06</v>
      </c>
      <c r="O9" s="83"/>
      <c r="P9" s="83"/>
      <c r="Q9" s="84"/>
      <c r="R9" s="12" t="b">
        <v>0</v>
      </c>
    </row>
    <row r="10" spans="1:22">
      <c r="A10" s="23">
        <v>45902</v>
      </c>
      <c r="B10" s="99">
        <v>0.28819444444444442</v>
      </c>
      <c r="C10" s="99"/>
      <c r="D10" s="67">
        <v>0.75</v>
      </c>
      <c r="E10" s="68"/>
      <c r="F10" s="55">
        <v>9.375E-2</v>
      </c>
      <c r="G10" s="55"/>
      <c r="H10" s="107">
        <f t="shared" ref="H10:H38" si="0">IF(R10=TRUE, K10, IF(OR(ISBLANK(B10), ISBLANK(D10)), 0, IF(D10&gt;B10, D10-B10-F10, 1-B10+D10-F10)))</f>
        <v>0.36805555555555558</v>
      </c>
      <c r="I10" s="55"/>
      <c r="J10" s="108"/>
      <c r="K10" s="55">
        <f t="shared" ref="K10:K38" si="1">IF(OR(WEEKDAY(A10,2)=6,WEEKDAY(A10,2)=7),0,($L$5/5)/24)</f>
        <v>0.26666666666666666</v>
      </c>
      <c r="L10" s="55"/>
      <c r="M10" s="55"/>
      <c r="N10" s="20" t="str">
        <f t="shared" ref="N10:N38" si="2">IF(H10-K10=0, "±0:00", IF(H10-K10&gt;0, "+" &amp; TEXT(H10-K10, "[h]:mm"), "-" &amp; TEXT(ABS(H10-K10), "[h]:mm")))</f>
        <v>+2:26</v>
      </c>
      <c r="O10" s="73" t="s">
        <v>42</v>
      </c>
      <c r="P10" s="73"/>
      <c r="Q10" s="74"/>
      <c r="R10" s="21" t="b">
        <v>0</v>
      </c>
    </row>
    <row r="11" spans="1:22">
      <c r="A11" s="24">
        <v>45903</v>
      </c>
      <c r="B11" s="101">
        <v>0.29166666666666702</v>
      </c>
      <c r="C11" s="101"/>
      <c r="D11" s="65">
        <v>0.63541666666666663</v>
      </c>
      <c r="E11" s="66"/>
      <c r="F11" s="79"/>
      <c r="G11" s="79"/>
      <c r="H11" s="105">
        <f t="shared" si="0"/>
        <v>0.34374999999999961</v>
      </c>
      <c r="I11" s="79"/>
      <c r="J11" s="106"/>
      <c r="K11" s="79">
        <f t="shared" si="1"/>
        <v>0.26666666666666666</v>
      </c>
      <c r="L11" s="79"/>
      <c r="M11" s="79"/>
      <c r="N11" s="13" t="str">
        <f t="shared" si="2"/>
        <v>+1:51</v>
      </c>
      <c r="O11" s="71" t="s">
        <v>43</v>
      </c>
      <c r="P11" s="71"/>
      <c r="Q11" s="72"/>
      <c r="R11" s="14" t="b">
        <v>0</v>
      </c>
    </row>
    <row r="12" spans="1:22">
      <c r="A12" s="23">
        <v>45904</v>
      </c>
      <c r="B12" s="99"/>
      <c r="C12" s="99"/>
      <c r="D12" s="67"/>
      <c r="E12" s="68"/>
      <c r="F12" s="55"/>
      <c r="G12" s="55"/>
      <c r="H12" s="107">
        <f t="shared" si="0"/>
        <v>0</v>
      </c>
      <c r="I12" s="55"/>
      <c r="J12" s="108"/>
      <c r="K12" s="55">
        <f t="shared" si="1"/>
        <v>0.26666666666666666</v>
      </c>
      <c r="L12" s="55"/>
      <c r="M12" s="55"/>
      <c r="N12" s="20" t="str">
        <f t="shared" si="2"/>
        <v>-6:24</v>
      </c>
      <c r="O12" s="73" t="s">
        <v>23</v>
      </c>
      <c r="P12" s="73"/>
      <c r="Q12" s="74"/>
      <c r="R12" s="21" t="b">
        <v>0</v>
      </c>
    </row>
    <row r="13" spans="1:22">
      <c r="A13" s="24">
        <v>45905</v>
      </c>
      <c r="B13" s="101"/>
      <c r="C13" s="101"/>
      <c r="D13" s="65"/>
      <c r="E13" s="66"/>
      <c r="F13" s="79"/>
      <c r="G13" s="79"/>
      <c r="H13" s="105">
        <f t="shared" si="0"/>
        <v>0.26666666666666666</v>
      </c>
      <c r="I13" s="79"/>
      <c r="J13" s="106"/>
      <c r="K13" s="79">
        <f t="shared" si="1"/>
        <v>0.26666666666666666</v>
      </c>
      <c r="L13" s="79"/>
      <c r="M13" s="79"/>
      <c r="N13" s="13" t="str">
        <f t="shared" si="2"/>
        <v>±0:00</v>
      </c>
      <c r="O13" s="71"/>
      <c r="P13" s="71"/>
      <c r="Q13" s="72"/>
      <c r="R13" s="14" t="b">
        <v>1</v>
      </c>
    </row>
    <row r="14" spans="1:22">
      <c r="A14" s="23">
        <v>45906</v>
      </c>
      <c r="B14" s="99"/>
      <c r="C14" s="99"/>
      <c r="D14" s="67"/>
      <c r="E14" s="68"/>
      <c r="F14" s="55"/>
      <c r="G14" s="55"/>
      <c r="H14" s="107"/>
      <c r="I14" s="55"/>
      <c r="J14" s="108"/>
      <c r="K14" s="55"/>
      <c r="L14" s="55"/>
      <c r="M14" s="55"/>
      <c r="N14" s="20" t="str">
        <f t="shared" si="2"/>
        <v>±0:00</v>
      </c>
      <c r="O14" s="73" t="s">
        <v>15</v>
      </c>
      <c r="P14" s="73"/>
      <c r="Q14" s="74"/>
      <c r="R14" s="21" t="b">
        <v>0</v>
      </c>
    </row>
    <row r="15" spans="1:22">
      <c r="A15" s="24">
        <v>45907</v>
      </c>
      <c r="B15" s="101"/>
      <c r="C15" s="101"/>
      <c r="D15" s="65"/>
      <c r="E15" s="66"/>
      <c r="F15" s="79"/>
      <c r="G15" s="79"/>
      <c r="H15" s="105"/>
      <c r="I15" s="79"/>
      <c r="J15" s="106"/>
      <c r="K15" s="79"/>
      <c r="L15" s="79"/>
      <c r="M15" s="79"/>
      <c r="N15" s="13" t="str">
        <f t="shared" si="2"/>
        <v>±0:00</v>
      </c>
      <c r="O15" s="71" t="s">
        <v>15</v>
      </c>
      <c r="P15" s="71"/>
      <c r="Q15" s="72"/>
      <c r="R15" s="14" t="b">
        <v>0</v>
      </c>
    </row>
    <row r="16" spans="1:22">
      <c r="A16" s="23">
        <v>45908</v>
      </c>
      <c r="B16" s="99"/>
      <c r="C16" s="99"/>
      <c r="D16" s="67"/>
      <c r="E16" s="68"/>
      <c r="F16" s="55"/>
      <c r="G16" s="55"/>
      <c r="H16" s="107">
        <f t="shared" si="0"/>
        <v>0.26666666666666666</v>
      </c>
      <c r="I16" s="55"/>
      <c r="J16" s="108"/>
      <c r="K16" s="55">
        <f t="shared" si="1"/>
        <v>0.26666666666666666</v>
      </c>
      <c r="L16" s="55"/>
      <c r="M16" s="55"/>
      <c r="N16" s="20" t="str">
        <f t="shared" si="2"/>
        <v>±0:00</v>
      </c>
      <c r="O16" s="73"/>
      <c r="P16" s="73"/>
      <c r="Q16" s="74"/>
      <c r="R16" s="21" t="b">
        <v>1</v>
      </c>
    </row>
    <row r="17" spans="1:18">
      <c r="A17" s="24">
        <v>45909</v>
      </c>
      <c r="B17" s="101"/>
      <c r="C17" s="101"/>
      <c r="D17" s="65"/>
      <c r="E17" s="66"/>
      <c r="F17" s="79"/>
      <c r="G17" s="79"/>
      <c r="H17" s="105">
        <f t="shared" si="0"/>
        <v>0.26666666666666666</v>
      </c>
      <c r="I17" s="79"/>
      <c r="J17" s="106"/>
      <c r="K17" s="79">
        <f t="shared" si="1"/>
        <v>0.26666666666666666</v>
      </c>
      <c r="L17" s="79"/>
      <c r="M17" s="79"/>
      <c r="N17" s="13" t="str">
        <f t="shared" si="2"/>
        <v>±0:00</v>
      </c>
      <c r="O17" s="71"/>
      <c r="P17" s="71"/>
      <c r="Q17" s="72"/>
      <c r="R17" s="14" t="b">
        <v>1</v>
      </c>
    </row>
    <row r="18" spans="1:18">
      <c r="A18" s="23">
        <v>45910</v>
      </c>
      <c r="B18" s="99">
        <v>0.28819444444444442</v>
      </c>
      <c r="C18" s="99"/>
      <c r="D18" s="67">
        <v>0.62847222222222221</v>
      </c>
      <c r="E18" s="68"/>
      <c r="F18" s="55">
        <v>3.125E-2</v>
      </c>
      <c r="G18" s="55"/>
      <c r="H18" s="107">
        <f t="shared" si="0"/>
        <v>0.30902777777777779</v>
      </c>
      <c r="I18" s="55"/>
      <c r="J18" s="108"/>
      <c r="K18" s="55">
        <f t="shared" si="1"/>
        <v>0.26666666666666666</v>
      </c>
      <c r="L18" s="55"/>
      <c r="M18" s="55"/>
      <c r="N18" s="20" t="str">
        <f t="shared" si="2"/>
        <v>+1:01</v>
      </c>
      <c r="O18" s="73" t="s">
        <v>44</v>
      </c>
      <c r="P18" s="73"/>
      <c r="Q18" s="74"/>
      <c r="R18" s="21" t="b">
        <v>0</v>
      </c>
    </row>
    <row r="19" spans="1:18">
      <c r="A19" s="24">
        <v>45911</v>
      </c>
      <c r="B19" s="101">
        <v>0.28819444444444442</v>
      </c>
      <c r="C19" s="101"/>
      <c r="D19" s="65">
        <v>0.58333333333333304</v>
      </c>
      <c r="E19" s="66"/>
      <c r="F19" s="79">
        <v>2.0833333333333332E-2</v>
      </c>
      <c r="G19" s="79"/>
      <c r="H19" s="105">
        <f t="shared" si="0"/>
        <v>0.2743055555555553</v>
      </c>
      <c r="I19" s="79"/>
      <c r="J19" s="106"/>
      <c r="K19" s="79">
        <f t="shared" si="1"/>
        <v>0.26666666666666666</v>
      </c>
      <c r="L19" s="79"/>
      <c r="M19" s="79"/>
      <c r="N19" s="13" t="str">
        <f t="shared" si="2"/>
        <v>+0:11</v>
      </c>
      <c r="O19" s="71" t="s">
        <v>45</v>
      </c>
      <c r="P19" s="71"/>
      <c r="Q19" s="72"/>
      <c r="R19" s="14" t="b">
        <v>0</v>
      </c>
    </row>
    <row r="20" spans="1:18">
      <c r="A20" s="23">
        <v>45912</v>
      </c>
      <c r="B20" s="99">
        <v>0.28819444444444442</v>
      </c>
      <c r="C20" s="99"/>
      <c r="D20" s="67">
        <v>0.50347222222222221</v>
      </c>
      <c r="E20" s="68"/>
      <c r="F20" s="55"/>
      <c r="G20" s="55"/>
      <c r="H20" s="107">
        <f t="shared" si="0"/>
        <v>0.21527777777777779</v>
      </c>
      <c r="I20" s="55"/>
      <c r="J20" s="108"/>
      <c r="K20" s="55">
        <f t="shared" si="1"/>
        <v>0.26666666666666666</v>
      </c>
      <c r="L20" s="55"/>
      <c r="M20" s="55"/>
      <c r="N20" s="20" t="str">
        <f t="shared" si="2"/>
        <v>-1:14</v>
      </c>
      <c r="O20" s="73"/>
      <c r="P20" s="73"/>
      <c r="Q20" s="74"/>
      <c r="R20" s="21" t="b">
        <v>0</v>
      </c>
    </row>
    <row r="21" spans="1:18">
      <c r="A21" s="24">
        <v>45913</v>
      </c>
      <c r="B21" s="101"/>
      <c r="C21" s="101"/>
      <c r="D21" s="65"/>
      <c r="E21" s="66"/>
      <c r="F21" s="79"/>
      <c r="G21" s="79"/>
      <c r="H21" s="105"/>
      <c r="I21" s="79"/>
      <c r="J21" s="106"/>
      <c r="K21" s="79"/>
      <c r="L21" s="79"/>
      <c r="M21" s="79"/>
      <c r="N21" s="13" t="str">
        <f t="shared" si="2"/>
        <v>±0:00</v>
      </c>
      <c r="O21" s="71" t="s">
        <v>15</v>
      </c>
      <c r="P21" s="71"/>
      <c r="Q21" s="72"/>
      <c r="R21" s="14" t="b">
        <v>0</v>
      </c>
    </row>
    <row r="22" spans="1:18">
      <c r="A22" s="23">
        <v>45914</v>
      </c>
      <c r="B22" s="99"/>
      <c r="C22" s="99"/>
      <c r="D22" s="67"/>
      <c r="E22" s="68"/>
      <c r="F22" s="55"/>
      <c r="G22" s="55"/>
      <c r="H22" s="107"/>
      <c r="I22" s="55"/>
      <c r="J22" s="108"/>
      <c r="K22" s="55"/>
      <c r="L22" s="55"/>
      <c r="M22" s="55"/>
      <c r="N22" s="20" t="str">
        <f t="shared" si="2"/>
        <v>±0:00</v>
      </c>
      <c r="O22" s="73" t="s">
        <v>15</v>
      </c>
      <c r="P22" s="73"/>
      <c r="Q22" s="74"/>
      <c r="R22" s="21" t="b">
        <v>0</v>
      </c>
    </row>
    <row r="23" spans="1:18">
      <c r="A23" s="24">
        <v>45915</v>
      </c>
      <c r="B23" s="101">
        <v>0.28819444444444442</v>
      </c>
      <c r="C23" s="101"/>
      <c r="D23" s="65">
        <v>0.61458333333333337</v>
      </c>
      <c r="E23" s="66"/>
      <c r="F23" s="79">
        <v>2.0833333333333332E-2</v>
      </c>
      <c r="G23" s="79"/>
      <c r="H23" s="105">
        <f t="shared" si="0"/>
        <v>0.30555555555555564</v>
      </c>
      <c r="I23" s="79"/>
      <c r="J23" s="106"/>
      <c r="K23" s="79">
        <f t="shared" si="1"/>
        <v>0.26666666666666666</v>
      </c>
      <c r="L23" s="79"/>
      <c r="M23" s="79"/>
      <c r="N23" s="13" t="str">
        <f t="shared" si="2"/>
        <v>+0:56</v>
      </c>
      <c r="O23" s="71" t="s">
        <v>46</v>
      </c>
      <c r="P23" s="71"/>
      <c r="Q23" s="72"/>
      <c r="R23" s="14" t="b">
        <v>0</v>
      </c>
    </row>
    <row r="24" spans="1:18">
      <c r="A24" s="23">
        <v>45916</v>
      </c>
      <c r="B24" s="99">
        <v>0.28819444444444442</v>
      </c>
      <c r="C24" s="99"/>
      <c r="D24" s="67">
        <v>0.75</v>
      </c>
      <c r="E24" s="68"/>
      <c r="F24" s="55">
        <v>4.1666666666666664E-2</v>
      </c>
      <c r="G24" s="55"/>
      <c r="H24" s="107">
        <f t="shared" si="0"/>
        <v>0.4201388888888889</v>
      </c>
      <c r="I24" s="55"/>
      <c r="J24" s="108"/>
      <c r="K24" s="55">
        <f t="shared" si="1"/>
        <v>0.26666666666666666</v>
      </c>
      <c r="L24" s="55"/>
      <c r="M24" s="55"/>
      <c r="N24" s="20" t="str">
        <f t="shared" si="2"/>
        <v>+3:41</v>
      </c>
      <c r="O24" s="73" t="s">
        <v>47</v>
      </c>
      <c r="P24" s="73"/>
      <c r="Q24" s="74"/>
      <c r="R24" s="21" t="b">
        <v>0</v>
      </c>
    </row>
    <row r="25" spans="1:18">
      <c r="A25" s="24">
        <v>45917</v>
      </c>
      <c r="B25" s="101">
        <v>0.44791666666666669</v>
      </c>
      <c r="C25" s="101"/>
      <c r="D25" s="65">
        <v>0.63194444444444442</v>
      </c>
      <c r="E25" s="66"/>
      <c r="F25" s="79">
        <v>2.0833333333333332E-2</v>
      </c>
      <c r="G25" s="79"/>
      <c r="H25" s="105">
        <f t="shared" si="0"/>
        <v>0.16319444444444439</v>
      </c>
      <c r="I25" s="79"/>
      <c r="J25" s="106"/>
      <c r="K25" s="79">
        <f t="shared" si="1"/>
        <v>0.26666666666666666</v>
      </c>
      <c r="L25" s="79"/>
      <c r="M25" s="79"/>
      <c r="N25" s="13" t="str">
        <f t="shared" si="2"/>
        <v>-2:29</v>
      </c>
      <c r="O25" s="71" t="s">
        <v>45</v>
      </c>
      <c r="P25" s="71"/>
      <c r="Q25" s="72"/>
      <c r="R25" s="14" t="b">
        <v>0</v>
      </c>
    </row>
    <row r="26" spans="1:18">
      <c r="A26" s="23">
        <v>45918</v>
      </c>
      <c r="B26" s="99">
        <v>0.28819444444444442</v>
      </c>
      <c r="C26" s="99"/>
      <c r="D26" s="67">
        <v>0.57291666666666663</v>
      </c>
      <c r="E26" s="68"/>
      <c r="F26" s="55">
        <v>2.0833333333333332E-2</v>
      </c>
      <c r="G26" s="55"/>
      <c r="H26" s="107">
        <f t="shared" si="0"/>
        <v>0.2638888888888889</v>
      </c>
      <c r="I26" s="55"/>
      <c r="J26" s="108"/>
      <c r="K26" s="55">
        <f t="shared" si="1"/>
        <v>0.26666666666666666</v>
      </c>
      <c r="L26" s="55"/>
      <c r="M26" s="55"/>
      <c r="N26" s="20" t="str">
        <f t="shared" si="2"/>
        <v>-0:04</v>
      </c>
      <c r="O26" s="73"/>
      <c r="P26" s="73"/>
      <c r="Q26" s="74"/>
      <c r="R26" s="21" t="b">
        <v>0</v>
      </c>
    </row>
    <row r="27" spans="1:18">
      <c r="A27" s="24">
        <v>45919</v>
      </c>
      <c r="B27" s="101">
        <v>0.29166666666666702</v>
      </c>
      <c r="C27" s="101"/>
      <c r="D27" s="65">
        <v>0.50347222222222221</v>
      </c>
      <c r="E27" s="66"/>
      <c r="F27" s="79"/>
      <c r="G27" s="79"/>
      <c r="H27" s="105">
        <f t="shared" si="0"/>
        <v>0.21180555555555519</v>
      </c>
      <c r="I27" s="79"/>
      <c r="J27" s="106"/>
      <c r="K27" s="79">
        <f t="shared" si="1"/>
        <v>0.26666666666666666</v>
      </c>
      <c r="L27" s="79"/>
      <c r="M27" s="79"/>
      <c r="N27" s="13" t="str">
        <f t="shared" si="2"/>
        <v>-1:19</v>
      </c>
      <c r="O27" s="71"/>
      <c r="P27" s="71"/>
      <c r="Q27" s="72"/>
      <c r="R27" s="14" t="b">
        <v>0</v>
      </c>
    </row>
    <row r="28" spans="1:18">
      <c r="A28" s="23">
        <v>45920</v>
      </c>
      <c r="B28" s="99"/>
      <c r="C28" s="99"/>
      <c r="D28" s="67"/>
      <c r="E28" s="68"/>
      <c r="F28" s="55"/>
      <c r="G28" s="55"/>
      <c r="H28" s="107"/>
      <c r="I28" s="55"/>
      <c r="J28" s="108"/>
      <c r="K28" s="55"/>
      <c r="L28" s="55"/>
      <c r="M28" s="55"/>
      <c r="N28" s="20" t="str">
        <f t="shared" si="2"/>
        <v>±0:00</v>
      </c>
      <c r="O28" s="73" t="s">
        <v>15</v>
      </c>
      <c r="P28" s="73"/>
      <c r="Q28" s="74"/>
      <c r="R28" s="21" t="b">
        <v>0</v>
      </c>
    </row>
    <row r="29" spans="1:18">
      <c r="A29" s="24">
        <v>45921</v>
      </c>
      <c r="B29" s="101"/>
      <c r="C29" s="101"/>
      <c r="D29" s="65"/>
      <c r="E29" s="66"/>
      <c r="F29" s="79"/>
      <c r="G29" s="79"/>
      <c r="H29" s="105"/>
      <c r="I29" s="79"/>
      <c r="J29" s="106"/>
      <c r="K29" s="79"/>
      <c r="L29" s="79"/>
      <c r="M29" s="79"/>
      <c r="N29" s="13" t="str">
        <f t="shared" si="2"/>
        <v>±0:00</v>
      </c>
      <c r="O29" s="71" t="s">
        <v>15</v>
      </c>
      <c r="P29" s="71"/>
      <c r="Q29" s="72"/>
      <c r="R29" s="14" t="b">
        <v>0</v>
      </c>
    </row>
    <row r="30" spans="1:18">
      <c r="A30" s="23">
        <v>45922</v>
      </c>
      <c r="B30" s="99">
        <v>0.28472222222222221</v>
      </c>
      <c r="C30" s="99"/>
      <c r="D30" s="67">
        <v>0.64583333333333337</v>
      </c>
      <c r="E30" s="68"/>
      <c r="F30" s="55">
        <v>2.0833333333333332E-2</v>
      </c>
      <c r="G30" s="55"/>
      <c r="H30" s="107">
        <f t="shared" si="0"/>
        <v>0.34027777777777785</v>
      </c>
      <c r="I30" s="55"/>
      <c r="J30" s="108"/>
      <c r="K30" s="55">
        <f t="shared" si="1"/>
        <v>0.26666666666666666</v>
      </c>
      <c r="L30" s="55"/>
      <c r="M30" s="55"/>
      <c r="N30" s="20" t="str">
        <f t="shared" si="2"/>
        <v>+1:46</v>
      </c>
      <c r="O30" s="73"/>
      <c r="P30" s="73"/>
      <c r="Q30" s="74"/>
      <c r="R30" s="21" t="b">
        <v>0</v>
      </c>
    </row>
    <row r="31" spans="1:18">
      <c r="A31" s="24">
        <v>45923</v>
      </c>
      <c r="B31" s="101">
        <v>0.28819444444444442</v>
      </c>
      <c r="C31" s="101"/>
      <c r="D31" s="65">
        <v>0.75</v>
      </c>
      <c r="E31" s="66"/>
      <c r="F31" s="79">
        <v>4.1666666666666664E-2</v>
      </c>
      <c r="G31" s="79"/>
      <c r="H31" s="105">
        <f t="shared" si="0"/>
        <v>0.4201388888888889</v>
      </c>
      <c r="I31" s="79"/>
      <c r="J31" s="106"/>
      <c r="K31" s="79">
        <f t="shared" si="1"/>
        <v>0.26666666666666666</v>
      </c>
      <c r="L31" s="79"/>
      <c r="M31" s="79"/>
      <c r="N31" s="13" t="str">
        <f t="shared" si="2"/>
        <v>+3:41</v>
      </c>
      <c r="O31" s="71"/>
      <c r="P31" s="71"/>
      <c r="Q31" s="72"/>
      <c r="R31" s="14" t="b">
        <v>0</v>
      </c>
    </row>
    <row r="32" spans="1:18">
      <c r="A32" s="23">
        <v>45924</v>
      </c>
      <c r="B32" s="99">
        <v>0.46180555555555558</v>
      </c>
      <c r="C32" s="99"/>
      <c r="D32" s="67">
        <v>0.67708333333333337</v>
      </c>
      <c r="E32" s="68"/>
      <c r="F32" s="55">
        <v>2.0833333333333332E-2</v>
      </c>
      <c r="G32" s="55"/>
      <c r="H32" s="107">
        <f t="shared" si="0"/>
        <v>0.19444444444444445</v>
      </c>
      <c r="I32" s="55"/>
      <c r="J32" s="108"/>
      <c r="K32" s="55">
        <f t="shared" si="1"/>
        <v>0.26666666666666666</v>
      </c>
      <c r="L32" s="55"/>
      <c r="M32" s="55"/>
      <c r="N32" s="20" t="str">
        <f t="shared" si="2"/>
        <v>-1:44</v>
      </c>
      <c r="O32" s="73" t="s">
        <v>45</v>
      </c>
      <c r="P32" s="73"/>
      <c r="Q32" s="74"/>
      <c r="R32" s="21" t="b">
        <v>0</v>
      </c>
    </row>
    <row r="33" spans="1:18">
      <c r="A33" s="24">
        <v>45925</v>
      </c>
      <c r="B33" s="101"/>
      <c r="C33" s="101"/>
      <c r="D33" s="65"/>
      <c r="E33" s="66"/>
      <c r="F33" s="79"/>
      <c r="G33" s="79"/>
      <c r="H33" s="105">
        <f t="shared" si="0"/>
        <v>0</v>
      </c>
      <c r="I33" s="79"/>
      <c r="J33" s="106"/>
      <c r="K33" s="79">
        <f t="shared" si="1"/>
        <v>0.26666666666666666</v>
      </c>
      <c r="L33" s="79"/>
      <c r="M33" s="79"/>
      <c r="N33" s="13" t="str">
        <f t="shared" si="2"/>
        <v>-6:24</v>
      </c>
      <c r="O33" s="71" t="s">
        <v>23</v>
      </c>
      <c r="P33" s="71"/>
      <c r="Q33" s="72"/>
      <c r="R33" s="14" t="b">
        <v>0</v>
      </c>
    </row>
    <row r="34" spans="1:18">
      <c r="A34" s="23">
        <v>45926</v>
      </c>
      <c r="B34" s="99"/>
      <c r="C34" s="99"/>
      <c r="D34" s="67"/>
      <c r="E34" s="68"/>
      <c r="F34" s="55"/>
      <c r="G34" s="55"/>
      <c r="H34" s="107">
        <f t="shared" si="0"/>
        <v>0</v>
      </c>
      <c r="I34" s="55"/>
      <c r="J34" s="108"/>
      <c r="K34" s="55">
        <f t="shared" si="1"/>
        <v>0.26666666666666666</v>
      </c>
      <c r="L34" s="55"/>
      <c r="M34" s="55"/>
      <c r="N34" s="20" t="str">
        <f t="shared" si="2"/>
        <v>-6:24</v>
      </c>
      <c r="O34" s="73" t="s">
        <v>23</v>
      </c>
      <c r="P34" s="73"/>
      <c r="Q34" s="74"/>
      <c r="R34" s="21" t="b">
        <v>0</v>
      </c>
    </row>
    <row r="35" spans="1:18">
      <c r="A35" s="24">
        <v>45927</v>
      </c>
      <c r="B35" s="101"/>
      <c r="C35" s="101"/>
      <c r="D35" s="65"/>
      <c r="E35" s="66"/>
      <c r="F35" s="79"/>
      <c r="G35" s="79"/>
      <c r="H35" s="105"/>
      <c r="I35" s="79"/>
      <c r="J35" s="106"/>
      <c r="K35" s="79"/>
      <c r="L35" s="79"/>
      <c r="M35" s="79"/>
      <c r="N35" s="13" t="str">
        <f t="shared" si="2"/>
        <v>±0:00</v>
      </c>
      <c r="O35" s="71" t="s">
        <v>15</v>
      </c>
      <c r="P35" s="71"/>
      <c r="Q35" s="72"/>
      <c r="R35" s="14" t="b">
        <v>0</v>
      </c>
    </row>
    <row r="36" spans="1:18">
      <c r="A36" s="23">
        <v>45928</v>
      </c>
      <c r="B36" s="99"/>
      <c r="C36" s="99"/>
      <c r="D36" s="67"/>
      <c r="E36" s="68"/>
      <c r="F36" s="55"/>
      <c r="G36" s="55"/>
      <c r="H36" s="107"/>
      <c r="I36" s="55"/>
      <c r="J36" s="108"/>
      <c r="K36" s="55"/>
      <c r="L36" s="55"/>
      <c r="M36" s="55"/>
      <c r="N36" s="20" t="str">
        <f t="shared" si="2"/>
        <v>±0:00</v>
      </c>
      <c r="O36" s="73" t="s">
        <v>15</v>
      </c>
      <c r="P36" s="73"/>
      <c r="Q36" s="74"/>
      <c r="R36" s="21" t="b">
        <v>0</v>
      </c>
    </row>
    <row r="37" spans="1:18">
      <c r="A37" s="24">
        <v>45929</v>
      </c>
      <c r="B37" s="101"/>
      <c r="C37" s="101"/>
      <c r="D37" s="65"/>
      <c r="E37" s="66"/>
      <c r="F37" s="79"/>
      <c r="G37" s="79"/>
      <c r="H37" s="105">
        <f t="shared" si="0"/>
        <v>0</v>
      </c>
      <c r="I37" s="79"/>
      <c r="J37" s="106"/>
      <c r="K37" s="79">
        <f t="shared" si="1"/>
        <v>0.26666666666666666</v>
      </c>
      <c r="L37" s="79"/>
      <c r="M37" s="79"/>
      <c r="N37" s="13" t="str">
        <f t="shared" si="2"/>
        <v>-6:24</v>
      </c>
      <c r="O37" s="71" t="s">
        <v>23</v>
      </c>
      <c r="P37" s="71"/>
      <c r="Q37" s="72"/>
      <c r="R37" s="14" t="b">
        <v>0</v>
      </c>
    </row>
    <row r="38" spans="1:18">
      <c r="A38" s="23">
        <v>45930</v>
      </c>
      <c r="B38" s="99"/>
      <c r="C38" s="99"/>
      <c r="D38" s="67"/>
      <c r="E38" s="68"/>
      <c r="F38" s="55"/>
      <c r="G38" s="55"/>
      <c r="H38" s="107">
        <f t="shared" si="0"/>
        <v>0</v>
      </c>
      <c r="I38" s="55"/>
      <c r="J38" s="108"/>
      <c r="K38" s="55">
        <f t="shared" si="1"/>
        <v>0.26666666666666666</v>
      </c>
      <c r="L38" s="55"/>
      <c r="M38" s="55"/>
      <c r="N38" s="20" t="str">
        <f t="shared" si="2"/>
        <v>-6:24</v>
      </c>
      <c r="O38" s="73" t="s">
        <v>23</v>
      </c>
      <c r="P38" s="73"/>
      <c r="Q38" s="74"/>
      <c r="R38" s="21" t="b">
        <v>0</v>
      </c>
    </row>
    <row r="39" spans="1:18" ht="16.2" thickBot="1">
      <c r="A39" s="25"/>
      <c r="B39" s="100"/>
      <c r="C39" s="100"/>
      <c r="D39" s="69"/>
      <c r="E39" s="70"/>
      <c r="F39" s="56"/>
      <c r="G39" s="56"/>
      <c r="H39" s="109"/>
      <c r="I39" s="56"/>
      <c r="J39" s="110"/>
      <c r="K39" s="56"/>
      <c r="L39" s="56"/>
      <c r="M39" s="56"/>
      <c r="N39" s="17"/>
      <c r="O39" s="97" t="s">
        <v>27</v>
      </c>
      <c r="P39" s="97"/>
      <c r="Q39" s="98"/>
      <c r="R39" s="18" t="b">
        <v>0</v>
      </c>
    </row>
    <row r="40" spans="1:18">
      <c r="A40" s="127" t="s">
        <v>20</v>
      </c>
      <c r="B40" s="28"/>
      <c r="C40" s="28"/>
      <c r="D40" s="28"/>
      <c r="E40" s="28"/>
      <c r="F40" s="29"/>
      <c r="G40" s="30"/>
      <c r="H40" s="34">
        <f>SUM(H9:J39)</f>
        <v>4.9423611111111105</v>
      </c>
      <c r="I40" s="35"/>
      <c r="J40" s="36"/>
      <c r="K40" s="40">
        <f>SUM(K9:M39)</f>
        <v>5.8666666666666663</v>
      </c>
      <c r="L40" s="41"/>
      <c r="M40" s="42"/>
    </row>
    <row r="41" spans="1:18" ht="16.2" thickBot="1">
      <c r="A41" s="31"/>
      <c r="B41" s="32"/>
      <c r="C41" s="32"/>
      <c r="D41" s="32"/>
      <c r="E41" s="32"/>
      <c r="F41" s="32"/>
      <c r="G41" s="33"/>
      <c r="H41" s="37"/>
      <c r="I41" s="38"/>
      <c r="J41" s="39"/>
      <c r="K41" s="37"/>
      <c r="L41" s="38"/>
      <c r="M41" s="39"/>
    </row>
    <row r="42" spans="1:18">
      <c r="A42" s="43" t="s">
        <v>21</v>
      </c>
      <c r="B42" s="44"/>
      <c r="C42" s="44"/>
      <c r="D42" s="44"/>
      <c r="E42" s="44"/>
      <c r="F42" s="44"/>
      <c r="G42" s="45"/>
      <c r="H42" s="49" t="str">
        <f>IF(Q5+H40-K40=0, "±0:00", TEXT(Q5+H40-K40, """+""[h]:mm;""-""[h]:mm"))</f>
        <v>+21:34</v>
      </c>
      <c r="I42" s="50"/>
      <c r="J42" s="51"/>
    </row>
    <row r="43" spans="1:18" ht="16.2" thickBot="1">
      <c r="A43" s="46"/>
      <c r="B43" s="47"/>
      <c r="C43" s="47"/>
      <c r="D43" s="47"/>
      <c r="E43" s="47"/>
      <c r="F43" s="47"/>
      <c r="G43" s="48"/>
      <c r="H43" s="52"/>
      <c r="I43" s="53"/>
      <c r="J43" s="54"/>
    </row>
    <row r="44" spans="1:18">
      <c r="L44" s="26"/>
    </row>
  </sheetData>
  <mergeCells count="208"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</mergeCells>
  <pageMargins left="0.7" right="0.7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A9E7-67FF-EA41-AA34-E1B16F694814}">
  <sheetPr>
    <pageSetUpPr fitToPage="1"/>
  </sheetPr>
  <dimension ref="A1:V43"/>
  <sheetViews>
    <sheetView topLeftCell="A6" workbookViewId="0">
      <selection activeCell="F29" sqref="F29:G29"/>
    </sheetView>
  </sheetViews>
  <sheetFormatPr baseColWidth="10" defaultRowHeight="15.6"/>
  <sheetData>
    <row r="1" spans="1:22" ht="15.9" customHeight="1">
      <c r="A1" s="85" t="s">
        <v>30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T1" s="91" t="s">
        <v>14</v>
      </c>
      <c r="U1" s="92"/>
      <c r="V1" s="93"/>
    </row>
    <row r="2" spans="1:22" ht="15.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T2" s="94"/>
      <c r="U2" s="95"/>
      <c r="V2" s="96"/>
    </row>
    <row r="3" spans="1:22" ht="15.9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T3" s="4" t="s">
        <v>2</v>
      </c>
      <c r="U3" s="3" t="s">
        <v>3</v>
      </c>
      <c r="V3" s="5" t="s">
        <v>4</v>
      </c>
    </row>
    <row r="4" spans="1:22" ht="17.100000000000001" customHeight="1" thickBot="1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T4" s="2" t="s">
        <v>9</v>
      </c>
      <c r="U4">
        <v>7</v>
      </c>
      <c r="V4" s="6">
        <v>14</v>
      </c>
    </row>
    <row r="5" spans="1:22" ht="15.9" customHeight="1">
      <c r="A5" s="113" t="s">
        <v>0</v>
      </c>
      <c r="B5" s="114"/>
      <c r="C5" s="115"/>
      <c r="D5" s="119" t="s">
        <v>17</v>
      </c>
      <c r="E5" s="120"/>
      <c r="F5" s="120"/>
      <c r="G5" s="120"/>
      <c r="H5" s="121"/>
      <c r="I5" s="119" t="s">
        <v>1</v>
      </c>
      <c r="J5" s="120"/>
      <c r="K5" s="121"/>
      <c r="L5" s="125">
        <v>32</v>
      </c>
      <c r="M5" s="59" t="s">
        <v>16</v>
      </c>
      <c r="N5" s="60"/>
      <c r="O5" s="60"/>
      <c r="P5" s="61"/>
      <c r="Q5" s="40">
        <v>0.89861111111111114</v>
      </c>
      <c r="R5" s="76"/>
      <c r="T5" s="2" t="s">
        <v>10</v>
      </c>
      <c r="U5">
        <v>7</v>
      </c>
      <c r="V5" s="6">
        <v>17</v>
      </c>
    </row>
    <row r="6" spans="1:22" ht="18.899999999999999" customHeight="1" thickBot="1">
      <c r="A6" s="116"/>
      <c r="B6" s="117"/>
      <c r="C6" s="118"/>
      <c r="D6" s="122"/>
      <c r="E6" s="123"/>
      <c r="F6" s="123"/>
      <c r="G6" s="123"/>
      <c r="H6" s="124"/>
      <c r="I6" s="122"/>
      <c r="J6" s="123"/>
      <c r="K6" s="124"/>
      <c r="L6" s="126"/>
      <c r="M6" s="62"/>
      <c r="N6" s="63"/>
      <c r="O6" s="63"/>
      <c r="P6" s="64"/>
      <c r="Q6" s="77"/>
      <c r="R6" s="78"/>
      <c r="T6" s="2" t="s">
        <v>11</v>
      </c>
      <c r="U6">
        <v>7</v>
      </c>
      <c r="V6" s="6">
        <v>14</v>
      </c>
    </row>
    <row r="7" spans="1:22" ht="15.9" customHeight="1">
      <c r="A7" s="57" t="s">
        <v>2</v>
      </c>
      <c r="B7" s="80" t="s">
        <v>3</v>
      </c>
      <c r="C7" s="42"/>
      <c r="D7" s="80" t="s">
        <v>4</v>
      </c>
      <c r="E7" s="42"/>
      <c r="F7" s="80" t="s">
        <v>5</v>
      </c>
      <c r="G7" s="42"/>
      <c r="H7" s="80" t="s">
        <v>6</v>
      </c>
      <c r="I7" s="41"/>
      <c r="J7" s="42"/>
      <c r="K7" s="80" t="s">
        <v>7</v>
      </c>
      <c r="L7" s="41"/>
      <c r="M7" s="42"/>
      <c r="N7" s="57" t="s">
        <v>18</v>
      </c>
      <c r="O7" s="80" t="s">
        <v>8</v>
      </c>
      <c r="P7" s="41"/>
      <c r="Q7" s="41"/>
      <c r="R7" s="57" t="s">
        <v>19</v>
      </c>
      <c r="S7" s="1"/>
      <c r="T7" s="2" t="s">
        <v>12</v>
      </c>
      <c r="U7">
        <v>7</v>
      </c>
      <c r="V7" s="6">
        <v>14</v>
      </c>
    </row>
    <row r="8" spans="1:22" ht="17.100000000000001" customHeight="1" thickBot="1">
      <c r="A8" s="58"/>
      <c r="B8" s="81"/>
      <c r="C8" s="36"/>
      <c r="D8" s="81"/>
      <c r="E8" s="36"/>
      <c r="F8" s="37"/>
      <c r="G8" s="39"/>
      <c r="H8" s="81"/>
      <c r="I8" s="35"/>
      <c r="J8" s="36"/>
      <c r="K8" s="81"/>
      <c r="L8" s="35"/>
      <c r="M8" s="36"/>
      <c r="N8" s="58"/>
      <c r="O8" s="81"/>
      <c r="P8" s="35"/>
      <c r="Q8" s="35"/>
      <c r="R8" s="75"/>
      <c r="S8" s="1"/>
      <c r="T8" s="7" t="s">
        <v>13</v>
      </c>
      <c r="U8" s="8">
        <v>7</v>
      </c>
      <c r="V8" s="9">
        <v>11</v>
      </c>
    </row>
    <row r="9" spans="1:22">
      <c r="A9" s="22">
        <v>45931</v>
      </c>
      <c r="B9" s="104"/>
      <c r="C9" s="104"/>
      <c r="D9" s="102"/>
      <c r="E9" s="103"/>
      <c r="F9" s="82"/>
      <c r="G9" s="82"/>
      <c r="H9" s="111">
        <f>IF(R9=TRUE, K9, IF(OR(ISBLANK(B9), ISBLANK(D9)), 0, IF(D9&gt;B9, D9-B9-F9, 1-B9+D9-F9)))</f>
        <v>0.26666666666666666</v>
      </c>
      <c r="I9" s="82"/>
      <c r="J9" s="112"/>
      <c r="K9" s="82">
        <f>IF(OR(WEEKDAY(A9,2)=6,WEEKDAY(A9,2)=7),0,($L$5/5)/24)</f>
        <v>0.26666666666666666</v>
      </c>
      <c r="L9" s="82"/>
      <c r="M9" s="82"/>
      <c r="N9" s="11" t="str">
        <f>IF(H9-K9=0, "±0:00", IF(H9-K9&gt;0, "+" &amp; TEXT(H9-K9, "[h]:mm"), "-" &amp; TEXT(ABS(H9-K9), "[h]:mm")))</f>
        <v>±0:00</v>
      </c>
      <c r="O9" s="83"/>
      <c r="P9" s="83"/>
      <c r="Q9" s="84"/>
      <c r="R9" s="12" t="b">
        <v>1</v>
      </c>
    </row>
    <row r="10" spans="1:22">
      <c r="A10" s="23">
        <v>45932</v>
      </c>
      <c r="B10" s="99"/>
      <c r="C10" s="99"/>
      <c r="D10" s="67"/>
      <c r="E10" s="68"/>
      <c r="F10" s="55"/>
      <c r="G10" s="55"/>
      <c r="H10" s="107">
        <f t="shared" ref="H10:H39" si="0">IF(R10=TRUE, K10, IF(OR(ISBLANK(B10), ISBLANK(D10)), 0, IF(D10&gt;B10, D10-B10-F10, 1-B10+D10-F10)))</f>
        <v>0.26666666666666666</v>
      </c>
      <c r="I10" s="55"/>
      <c r="J10" s="108"/>
      <c r="K10" s="55">
        <f t="shared" ref="K10:K39" si="1">IF(OR(WEEKDAY(A10,2)=6,WEEKDAY(A10,2)=7),0,($L$5/5)/24)</f>
        <v>0.26666666666666666</v>
      </c>
      <c r="L10" s="55"/>
      <c r="M10" s="55"/>
      <c r="N10" s="20" t="str">
        <f t="shared" ref="N10:N39" si="2">IF(H10-K10=0, "±0:00", IF(H10-K10&gt;0, "+" &amp; TEXT(H10-K10, "[h]:mm"), "-" &amp; TEXT(ABS(H10-K10), "[h]:mm")))</f>
        <v>±0:00</v>
      </c>
      <c r="O10" s="73"/>
      <c r="P10" s="73"/>
      <c r="Q10" s="74"/>
      <c r="R10" s="21" t="b">
        <v>1</v>
      </c>
    </row>
    <row r="11" spans="1:22">
      <c r="A11" s="24">
        <v>45933</v>
      </c>
      <c r="B11" s="101"/>
      <c r="C11" s="101"/>
      <c r="D11" s="65"/>
      <c r="E11" s="66"/>
      <c r="F11" s="79"/>
      <c r="G11" s="79"/>
      <c r="H11" s="105">
        <f t="shared" si="0"/>
        <v>0.26666666666666666</v>
      </c>
      <c r="I11" s="79"/>
      <c r="J11" s="106"/>
      <c r="K11" s="79">
        <f t="shared" si="1"/>
        <v>0.26666666666666666</v>
      </c>
      <c r="L11" s="79"/>
      <c r="M11" s="79"/>
      <c r="N11" s="13" t="str">
        <f t="shared" si="2"/>
        <v>±0:00</v>
      </c>
      <c r="O11" s="71" t="s">
        <v>48</v>
      </c>
      <c r="P11" s="71"/>
      <c r="Q11" s="72"/>
      <c r="R11" s="14" t="b">
        <v>1</v>
      </c>
    </row>
    <row r="12" spans="1:22">
      <c r="A12" s="23">
        <v>45934</v>
      </c>
      <c r="B12" s="99"/>
      <c r="C12" s="99"/>
      <c r="D12" s="67"/>
      <c r="E12" s="68"/>
      <c r="F12" s="55"/>
      <c r="G12" s="55"/>
      <c r="H12" s="107"/>
      <c r="I12" s="55"/>
      <c r="J12" s="108"/>
      <c r="K12" s="55"/>
      <c r="L12" s="55"/>
      <c r="M12" s="55"/>
      <c r="N12" s="20" t="str">
        <f t="shared" si="2"/>
        <v>±0:00</v>
      </c>
      <c r="O12" s="73" t="s">
        <v>15</v>
      </c>
      <c r="P12" s="73"/>
      <c r="Q12" s="74"/>
      <c r="R12" s="21" t="b">
        <v>0</v>
      </c>
    </row>
    <row r="13" spans="1:22">
      <c r="A13" s="24">
        <v>45935</v>
      </c>
      <c r="B13" s="101"/>
      <c r="C13" s="101"/>
      <c r="D13" s="65"/>
      <c r="E13" s="66"/>
      <c r="F13" s="79"/>
      <c r="G13" s="79"/>
      <c r="H13" s="105"/>
      <c r="I13" s="79"/>
      <c r="J13" s="106"/>
      <c r="K13" s="79"/>
      <c r="L13" s="79"/>
      <c r="M13" s="79"/>
      <c r="N13" s="13" t="str">
        <f t="shared" si="2"/>
        <v>±0:00</v>
      </c>
      <c r="O13" s="71" t="s">
        <v>15</v>
      </c>
      <c r="P13" s="71"/>
      <c r="Q13" s="72"/>
      <c r="R13" s="14" t="b">
        <v>0</v>
      </c>
    </row>
    <row r="14" spans="1:22">
      <c r="A14" s="23">
        <v>45936</v>
      </c>
      <c r="B14" s="99"/>
      <c r="C14" s="99"/>
      <c r="D14" s="67"/>
      <c r="E14" s="68"/>
      <c r="F14" s="55"/>
      <c r="G14" s="55"/>
      <c r="H14" s="107">
        <f t="shared" si="0"/>
        <v>0.26666666666666666</v>
      </c>
      <c r="I14" s="55"/>
      <c r="J14" s="108"/>
      <c r="K14" s="55">
        <f t="shared" si="1"/>
        <v>0.26666666666666666</v>
      </c>
      <c r="L14" s="55"/>
      <c r="M14" s="55"/>
      <c r="N14" s="20" t="str">
        <f t="shared" si="2"/>
        <v>±0:00</v>
      </c>
      <c r="O14" s="73"/>
      <c r="P14" s="73"/>
      <c r="Q14" s="74"/>
      <c r="R14" s="21" t="b">
        <v>1</v>
      </c>
    </row>
    <row r="15" spans="1:22">
      <c r="A15" s="24">
        <v>45937</v>
      </c>
      <c r="B15" s="101"/>
      <c r="C15" s="101"/>
      <c r="D15" s="65"/>
      <c r="E15" s="66"/>
      <c r="F15" s="79"/>
      <c r="G15" s="79"/>
      <c r="H15" s="105">
        <f t="shared" si="0"/>
        <v>0.26666666666666666</v>
      </c>
      <c r="I15" s="79"/>
      <c r="J15" s="106"/>
      <c r="K15" s="79">
        <f t="shared" si="1"/>
        <v>0.26666666666666666</v>
      </c>
      <c r="L15" s="79"/>
      <c r="M15" s="79"/>
      <c r="N15" s="13" t="str">
        <f t="shared" si="2"/>
        <v>±0:00</v>
      </c>
      <c r="O15" s="71"/>
      <c r="P15" s="71"/>
      <c r="Q15" s="72"/>
      <c r="R15" s="14" t="b">
        <v>1</v>
      </c>
    </row>
    <row r="16" spans="1:22">
      <c r="A16" s="23">
        <v>45938</v>
      </c>
      <c r="B16" s="99"/>
      <c r="C16" s="99"/>
      <c r="D16" s="67"/>
      <c r="E16" s="68"/>
      <c r="F16" s="55"/>
      <c r="G16" s="55"/>
      <c r="H16" s="107">
        <f t="shared" si="0"/>
        <v>0.26666666666666666</v>
      </c>
      <c r="I16" s="55"/>
      <c r="J16" s="108"/>
      <c r="K16" s="55">
        <f t="shared" si="1"/>
        <v>0.26666666666666666</v>
      </c>
      <c r="L16" s="55"/>
      <c r="M16" s="55"/>
      <c r="N16" s="20" t="str">
        <f t="shared" si="2"/>
        <v>±0:00</v>
      </c>
      <c r="O16" s="73"/>
      <c r="P16" s="73"/>
      <c r="Q16" s="74"/>
      <c r="R16" s="21" t="b">
        <v>1</v>
      </c>
    </row>
    <row r="17" spans="1:18">
      <c r="A17" s="24">
        <v>45939</v>
      </c>
      <c r="B17" s="101"/>
      <c r="C17" s="101"/>
      <c r="D17" s="65"/>
      <c r="E17" s="66"/>
      <c r="F17" s="79"/>
      <c r="G17" s="79"/>
      <c r="H17" s="105">
        <f t="shared" si="0"/>
        <v>0.26666666666666666</v>
      </c>
      <c r="I17" s="79"/>
      <c r="J17" s="106"/>
      <c r="K17" s="79">
        <f t="shared" si="1"/>
        <v>0.26666666666666666</v>
      </c>
      <c r="L17" s="79"/>
      <c r="M17" s="79"/>
      <c r="N17" s="13" t="str">
        <f t="shared" si="2"/>
        <v>±0:00</v>
      </c>
      <c r="O17" s="71"/>
      <c r="P17" s="71"/>
      <c r="Q17" s="72"/>
      <c r="R17" s="14" t="b">
        <v>1</v>
      </c>
    </row>
    <row r="18" spans="1:18">
      <c r="A18" s="23">
        <v>45940</v>
      </c>
      <c r="B18" s="99"/>
      <c r="C18" s="99"/>
      <c r="D18" s="67"/>
      <c r="E18" s="68"/>
      <c r="F18" s="55"/>
      <c r="G18" s="55"/>
      <c r="H18" s="107">
        <f t="shared" si="0"/>
        <v>0.26666666666666666</v>
      </c>
      <c r="I18" s="55"/>
      <c r="J18" s="108"/>
      <c r="K18" s="55">
        <f t="shared" si="1"/>
        <v>0.26666666666666666</v>
      </c>
      <c r="L18" s="55"/>
      <c r="M18" s="55"/>
      <c r="N18" s="20" t="str">
        <f t="shared" si="2"/>
        <v>±0:00</v>
      </c>
      <c r="O18" s="73"/>
      <c r="P18" s="73"/>
      <c r="Q18" s="74"/>
      <c r="R18" s="21" t="b">
        <v>1</v>
      </c>
    </row>
    <row r="19" spans="1:18">
      <c r="A19" s="24">
        <v>45941</v>
      </c>
      <c r="B19" s="101"/>
      <c r="C19" s="101"/>
      <c r="D19" s="65"/>
      <c r="E19" s="66"/>
      <c r="F19" s="79"/>
      <c r="G19" s="79"/>
      <c r="H19" s="105"/>
      <c r="I19" s="79"/>
      <c r="J19" s="106"/>
      <c r="K19" s="79"/>
      <c r="L19" s="79"/>
      <c r="M19" s="79"/>
      <c r="N19" s="13" t="str">
        <f t="shared" si="2"/>
        <v>±0:00</v>
      </c>
      <c r="O19" s="71" t="s">
        <v>15</v>
      </c>
      <c r="P19" s="71"/>
      <c r="Q19" s="72"/>
      <c r="R19" s="14" t="b">
        <v>0</v>
      </c>
    </row>
    <row r="20" spans="1:18">
      <c r="A20" s="23">
        <v>45942</v>
      </c>
      <c r="B20" s="99"/>
      <c r="C20" s="99"/>
      <c r="D20" s="67"/>
      <c r="E20" s="68"/>
      <c r="F20" s="55"/>
      <c r="G20" s="55"/>
      <c r="H20" s="107"/>
      <c r="I20" s="55"/>
      <c r="J20" s="108"/>
      <c r="K20" s="55"/>
      <c r="L20" s="55"/>
      <c r="M20" s="55"/>
      <c r="N20" s="20" t="str">
        <f t="shared" si="2"/>
        <v>±0:00</v>
      </c>
      <c r="O20" s="73" t="s">
        <v>15</v>
      </c>
      <c r="P20" s="73"/>
      <c r="Q20" s="74"/>
      <c r="R20" s="21" t="b">
        <v>0</v>
      </c>
    </row>
    <row r="21" spans="1:18">
      <c r="A21" s="24">
        <v>45943</v>
      </c>
      <c r="B21" s="101"/>
      <c r="C21" s="101"/>
      <c r="D21" s="65"/>
      <c r="E21" s="66"/>
      <c r="F21" s="79"/>
      <c r="G21" s="79"/>
      <c r="H21" s="105">
        <f t="shared" si="0"/>
        <v>0.26666666666666666</v>
      </c>
      <c r="I21" s="79"/>
      <c r="J21" s="106"/>
      <c r="K21" s="79">
        <f t="shared" si="1"/>
        <v>0.26666666666666666</v>
      </c>
      <c r="L21" s="79"/>
      <c r="M21" s="79"/>
      <c r="N21" s="13" t="str">
        <f t="shared" si="2"/>
        <v>±0:00</v>
      </c>
      <c r="O21" s="71"/>
      <c r="P21" s="71"/>
      <c r="Q21" s="72"/>
      <c r="R21" s="14" t="b">
        <v>1</v>
      </c>
    </row>
    <row r="22" spans="1:18">
      <c r="A22" s="23">
        <v>45944</v>
      </c>
      <c r="B22" s="99"/>
      <c r="C22" s="99"/>
      <c r="D22" s="67"/>
      <c r="E22" s="68"/>
      <c r="F22" s="55"/>
      <c r="G22" s="55"/>
      <c r="H22" s="107">
        <f t="shared" si="0"/>
        <v>0.26666666666666666</v>
      </c>
      <c r="I22" s="55"/>
      <c r="J22" s="108"/>
      <c r="K22" s="55">
        <f t="shared" si="1"/>
        <v>0.26666666666666666</v>
      </c>
      <c r="L22" s="55"/>
      <c r="M22" s="55"/>
      <c r="N22" s="20" t="str">
        <f t="shared" si="2"/>
        <v>±0:00</v>
      </c>
      <c r="O22" s="73"/>
      <c r="P22" s="73"/>
      <c r="Q22" s="74"/>
      <c r="R22" s="21" t="b">
        <v>1</v>
      </c>
    </row>
    <row r="23" spans="1:18">
      <c r="A23" s="24">
        <v>45945</v>
      </c>
      <c r="B23" s="101">
        <v>0.29166666666666702</v>
      </c>
      <c r="C23" s="101"/>
      <c r="D23" s="65">
        <v>0.625</v>
      </c>
      <c r="E23" s="66"/>
      <c r="F23" s="79">
        <v>2.0833333333333332E-2</v>
      </c>
      <c r="G23" s="79"/>
      <c r="H23" s="105">
        <f t="shared" si="0"/>
        <v>0.31249999999999967</v>
      </c>
      <c r="I23" s="79"/>
      <c r="J23" s="106"/>
      <c r="K23" s="79">
        <f t="shared" si="1"/>
        <v>0.26666666666666666</v>
      </c>
      <c r="L23" s="79"/>
      <c r="M23" s="79"/>
      <c r="N23" s="13" t="str">
        <f t="shared" si="2"/>
        <v>+1:06</v>
      </c>
      <c r="O23" s="71"/>
      <c r="P23" s="71"/>
      <c r="Q23" s="72"/>
      <c r="R23" s="14" t="b">
        <v>0</v>
      </c>
    </row>
    <row r="24" spans="1:18">
      <c r="A24" s="23">
        <v>45946</v>
      </c>
      <c r="B24" s="99">
        <v>0.28819444444444442</v>
      </c>
      <c r="C24" s="99"/>
      <c r="D24" s="67">
        <v>0.64583333333333337</v>
      </c>
      <c r="E24" s="68"/>
      <c r="F24" s="55">
        <v>7.6388888888888895E-2</v>
      </c>
      <c r="G24" s="55"/>
      <c r="H24" s="107">
        <f t="shared" si="0"/>
        <v>0.28125000000000006</v>
      </c>
      <c r="I24" s="55"/>
      <c r="J24" s="108"/>
      <c r="K24" s="55">
        <f t="shared" si="1"/>
        <v>0.26666666666666666</v>
      </c>
      <c r="L24" s="55"/>
      <c r="M24" s="55"/>
      <c r="N24" s="20" t="str">
        <f t="shared" si="2"/>
        <v>+0:21</v>
      </c>
      <c r="O24" s="73" t="s">
        <v>49</v>
      </c>
      <c r="P24" s="73"/>
      <c r="Q24" s="74"/>
      <c r="R24" s="21" t="b">
        <v>0</v>
      </c>
    </row>
    <row r="25" spans="1:18">
      <c r="A25" s="24">
        <v>45947</v>
      </c>
      <c r="B25" s="101">
        <v>0.28472222222222221</v>
      </c>
      <c r="C25" s="101"/>
      <c r="D25" s="65">
        <v>0.5</v>
      </c>
      <c r="E25" s="66"/>
      <c r="F25" s="79"/>
      <c r="G25" s="79"/>
      <c r="H25" s="105">
        <f t="shared" si="0"/>
        <v>0.21527777777777779</v>
      </c>
      <c r="I25" s="79"/>
      <c r="J25" s="106"/>
      <c r="K25" s="79">
        <f t="shared" si="1"/>
        <v>0.26666666666666666</v>
      </c>
      <c r="L25" s="79"/>
      <c r="M25" s="79"/>
      <c r="N25" s="13" t="str">
        <f t="shared" si="2"/>
        <v>-1:14</v>
      </c>
      <c r="O25" s="71"/>
      <c r="P25" s="71"/>
      <c r="Q25" s="72"/>
      <c r="R25" s="14" t="b">
        <v>0</v>
      </c>
    </row>
    <row r="26" spans="1:18">
      <c r="A26" s="23">
        <v>45948</v>
      </c>
      <c r="B26" s="99"/>
      <c r="C26" s="99"/>
      <c r="D26" s="67"/>
      <c r="E26" s="68"/>
      <c r="F26" s="55"/>
      <c r="G26" s="55"/>
      <c r="H26" s="107"/>
      <c r="I26" s="55"/>
      <c r="J26" s="108"/>
      <c r="K26" s="55"/>
      <c r="L26" s="55"/>
      <c r="M26" s="55"/>
      <c r="N26" s="20" t="str">
        <f t="shared" si="2"/>
        <v>±0:00</v>
      </c>
      <c r="O26" s="73" t="s">
        <v>15</v>
      </c>
      <c r="P26" s="73"/>
      <c r="Q26" s="74"/>
      <c r="R26" s="21" t="b">
        <v>0</v>
      </c>
    </row>
    <row r="27" spans="1:18">
      <c r="A27" s="24">
        <v>45949</v>
      </c>
      <c r="B27" s="101"/>
      <c r="C27" s="101"/>
      <c r="D27" s="65"/>
      <c r="E27" s="66"/>
      <c r="F27" s="79"/>
      <c r="G27" s="79"/>
      <c r="H27" s="105"/>
      <c r="I27" s="79"/>
      <c r="J27" s="106"/>
      <c r="K27" s="79"/>
      <c r="L27" s="79"/>
      <c r="M27" s="79"/>
      <c r="N27" s="13" t="str">
        <f t="shared" si="2"/>
        <v>±0:00</v>
      </c>
      <c r="O27" s="71" t="s">
        <v>15</v>
      </c>
      <c r="P27" s="71"/>
      <c r="Q27" s="72"/>
      <c r="R27" s="14" t="b">
        <v>0</v>
      </c>
    </row>
    <row r="28" spans="1:18">
      <c r="A28" s="23">
        <v>45950</v>
      </c>
      <c r="B28" s="99">
        <v>0.29166666666666702</v>
      </c>
      <c r="C28" s="99"/>
      <c r="D28" s="67">
        <v>0.625</v>
      </c>
      <c r="E28" s="68"/>
      <c r="F28" s="55">
        <v>2.0833333333333332E-2</v>
      </c>
      <c r="G28" s="55"/>
      <c r="H28" s="107">
        <f t="shared" si="0"/>
        <v>0.31249999999999967</v>
      </c>
      <c r="I28" s="55"/>
      <c r="J28" s="108"/>
      <c r="K28" s="55">
        <f t="shared" si="1"/>
        <v>0.26666666666666666</v>
      </c>
      <c r="L28" s="55"/>
      <c r="M28" s="55"/>
      <c r="N28" s="20" t="str">
        <f t="shared" si="2"/>
        <v>+1:06</v>
      </c>
      <c r="O28" s="73"/>
      <c r="P28" s="73"/>
      <c r="Q28" s="74"/>
      <c r="R28" s="21" t="b">
        <v>0</v>
      </c>
    </row>
    <row r="29" spans="1:18">
      <c r="A29" s="24">
        <v>45951</v>
      </c>
      <c r="B29" s="101">
        <v>0.29166666666666702</v>
      </c>
      <c r="C29" s="101"/>
      <c r="D29" s="65">
        <v>0.68402777777777779</v>
      </c>
      <c r="E29" s="66"/>
      <c r="F29" s="79">
        <v>3.125E-2</v>
      </c>
      <c r="G29" s="79"/>
      <c r="H29" s="105">
        <f t="shared" si="0"/>
        <v>0.36111111111111077</v>
      </c>
      <c r="I29" s="79"/>
      <c r="J29" s="106"/>
      <c r="K29" s="79">
        <f t="shared" si="1"/>
        <v>0.26666666666666666</v>
      </c>
      <c r="L29" s="79"/>
      <c r="M29" s="79"/>
      <c r="N29" s="13" t="str">
        <f t="shared" si="2"/>
        <v>+2:16</v>
      </c>
      <c r="O29" s="71"/>
      <c r="P29" s="71"/>
      <c r="Q29" s="72"/>
      <c r="R29" s="14" t="b">
        <v>0</v>
      </c>
    </row>
    <row r="30" spans="1:18">
      <c r="A30" s="23">
        <v>45952</v>
      </c>
      <c r="B30" s="99">
        <v>0.28819444444444442</v>
      </c>
      <c r="C30" s="99"/>
      <c r="D30" s="67">
        <v>0.55208333333333337</v>
      </c>
      <c r="E30" s="68"/>
      <c r="F30" s="55">
        <v>1.0416666666666666E-2</v>
      </c>
      <c r="G30" s="55"/>
      <c r="H30" s="107">
        <f t="shared" si="0"/>
        <v>0.25347222222222227</v>
      </c>
      <c r="I30" s="55"/>
      <c r="J30" s="108"/>
      <c r="K30" s="55">
        <f t="shared" si="1"/>
        <v>0.26666666666666666</v>
      </c>
      <c r="L30" s="55"/>
      <c r="M30" s="55"/>
      <c r="N30" s="20" t="str">
        <f t="shared" si="2"/>
        <v>-0:19</v>
      </c>
      <c r="O30" s="73" t="s">
        <v>50</v>
      </c>
      <c r="P30" s="73"/>
      <c r="Q30" s="74"/>
      <c r="R30" s="21" t="b">
        <v>0</v>
      </c>
    </row>
    <row r="31" spans="1:18">
      <c r="A31" s="24">
        <v>45953</v>
      </c>
      <c r="B31" s="101">
        <v>0.29166666666666702</v>
      </c>
      <c r="C31" s="101"/>
      <c r="D31" s="65">
        <v>0.625</v>
      </c>
      <c r="E31" s="66"/>
      <c r="F31" s="79">
        <v>2.0833333333333332E-2</v>
      </c>
      <c r="G31" s="79"/>
      <c r="H31" s="105">
        <f t="shared" si="0"/>
        <v>0.31249999999999967</v>
      </c>
      <c r="I31" s="79"/>
      <c r="J31" s="106"/>
      <c r="K31" s="79">
        <f t="shared" si="1"/>
        <v>0.26666666666666666</v>
      </c>
      <c r="L31" s="79"/>
      <c r="M31" s="79"/>
      <c r="N31" s="13" t="str">
        <f t="shared" si="2"/>
        <v>+1:06</v>
      </c>
      <c r="O31" s="71"/>
      <c r="P31" s="71"/>
      <c r="Q31" s="72"/>
      <c r="R31" s="14" t="b">
        <v>0</v>
      </c>
    </row>
    <row r="32" spans="1:18">
      <c r="A32" s="23">
        <v>45954</v>
      </c>
      <c r="B32" s="99">
        <v>0.29166666666666702</v>
      </c>
      <c r="C32" s="99"/>
      <c r="D32" s="67">
        <v>0.5</v>
      </c>
      <c r="E32" s="68"/>
      <c r="F32" s="55"/>
      <c r="G32" s="55"/>
      <c r="H32" s="107">
        <f t="shared" si="0"/>
        <v>0.20833333333333298</v>
      </c>
      <c r="I32" s="55"/>
      <c r="J32" s="108"/>
      <c r="K32" s="55">
        <f t="shared" si="1"/>
        <v>0.26666666666666666</v>
      </c>
      <c r="L32" s="55"/>
      <c r="M32" s="55"/>
      <c r="N32" s="20" t="str">
        <f t="shared" si="2"/>
        <v>-1:24</v>
      </c>
      <c r="O32" s="73"/>
      <c r="P32" s="73"/>
      <c r="Q32" s="74"/>
      <c r="R32" s="21" t="b">
        <v>0</v>
      </c>
    </row>
    <row r="33" spans="1:18">
      <c r="A33" s="24">
        <v>45955</v>
      </c>
      <c r="B33" s="101"/>
      <c r="C33" s="101"/>
      <c r="D33" s="65"/>
      <c r="E33" s="66"/>
      <c r="F33" s="79"/>
      <c r="G33" s="79"/>
      <c r="H33" s="105"/>
      <c r="I33" s="79"/>
      <c r="J33" s="106"/>
      <c r="K33" s="79"/>
      <c r="L33" s="79"/>
      <c r="M33" s="79"/>
      <c r="N33" s="13" t="str">
        <f t="shared" si="2"/>
        <v>±0:00</v>
      </c>
      <c r="O33" s="71" t="s">
        <v>15</v>
      </c>
      <c r="P33" s="71"/>
      <c r="Q33" s="72"/>
      <c r="R33" s="14" t="b">
        <v>0</v>
      </c>
    </row>
    <row r="34" spans="1:18">
      <c r="A34" s="23">
        <v>45956</v>
      </c>
      <c r="B34" s="99"/>
      <c r="C34" s="99"/>
      <c r="D34" s="67"/>
      <c r="E34" s="68"/>
      <c r="F34" s="55"/>
      <c r="G34" s="55"/>
      <c r="H34" s="107"/>
      <c r="I34" s="55"/>
      <c r="J34" s="108"/>
      <c r="K34" s="55"/>
      <c r="L34" s="55"/>
      <c r="M34" s="55"/>
      <c r="N34" s="20" t="str">
        <f t="shared" si="2"/>
        <v>±0:00</v>
      </c>
      <c r="O34" s="73" t="s">
        <v>15</v>
      </c>
      <c r="P34" s="73"/>
      <c r="Q34" s="74"/>
      <c r="R34" s="21" t="b">
        <v>0</v>
      </c>
    </row>
    <row r="35" spans="1:18">
      <c r="A35" s="24">
        <v>45957</v>
      </c>
      <c r="B35" s="101">
        <v>0.29166666666666702</v>
      </c>
      <c r="C35" s="101"/>
      <c r="D35" s="65">
        <v>0.63194444444444442</v>
      </c>
      <c r="E35" s="66"/>
      <c r="F35" s="79">
        <v>2.0833333333333332E-2</v>
      </c>
      <c r="G35" s="79"/>
      <c r="H35" s="105">
        <f t="shared" si="0"/>
        <v>0.31944444444444409</v>
      </c>
      <c r="I35" s="79"/>
      <c r="J35" s="106"/>
      <c r="K35" s="79">
        <f t="shared" si="1"/>
        <v>0.26666666666666666</v>
      </c>
      <c r="L35" s="79"/>
      <c r="M35" s="79"/>
      <c r="N35" s="13" t="str">
        <f t="shared" si="2"/>
        <v>+1:16</v>
      </c>
      <c r="O35" s="71"/>
      <c r="P35" s="71"/>
      <c r="Q35" s="72"/>
      <c r="R35" s="14" t="b">
        <v>0</v>
      </c>
    </row>
    <row r="36" spans="1:18">
      <c r="A36" s="23">
        <v>45958</v>
      </c>
      <c r="B36" s="99">
        <v>0.29166666666666702</v>
      </c>
      <c r="C36" s="99"/>
      <c r="D36" s="67">
        <v>0.75</v>
      </c>
      <c r="E36" s="68"/>
      <c r="F36" s="55">
        <v>3.125E-2</v>
      </c>
      <c r="G36" s="55"/>
      <c r="H36" s="107">
        <f t="shared" si="0"/>
        <v>0.42708333333333298</v>
      </c>
      <c r="I36" s="55"/>
      <c r="J36" s="108"/>
      <c r="K36" s="55">
        <f t="shared" si="1"/>
        <v>0.26666666666666666</v>
      </c>
      <c r="L36" s="55"/>
      <c r="M36" s="55"/>
      <c r="N36" s="20" t="str">
        <f t="shared" si="2"/>
        <v>+3:51</v>
      </c>
      <c r="O36" s="73"/>
      <c r="P36" s="73"/>
      <c r="Q36" s="74"/>
      <c r="R36" s="21" t="b">
        <v>0</v>
      </c>
    </row>
    <row r="37" spans="1:18">
      <c r="A37" s="24">
        <v>45959</v>
      </c>
      <c r="B37" s="101">
        <v>0.46527777777777779</v>
      </c>
      <c r="C37" s="101"/>
      <c r="D37" s="65">
        <v>0.625</v>
      </c>
      <c r="E37" s="66"/>
      <c r="F37" s="79">
        <v>2.0833333333333332E-2</v>
      </c>
      <c r="G37" s="79"/>
      <c r="H37" s="105">
        <f t="shared" si="0"/>
        <v>0.13888888888888887</v>
      </c>
      <c r="I37" s="79"/>
      <c r="J37" s="106"/>
      <c r="K37" s="79">
        <f t="shared" si="1"/>
        <v>0.26666666666666666</v>
      </c>
      <c r="L37" s="79"/>
      <c r="M37" s="79"/>
      <c r="N37" s="13" t="str">
        <f t="shared" si="2"/>
        <v>-3:04</v>
      </c>
      <c r="O37" s="71" t="s">
        <v>51</v>
      </c>
      <c r="P37" s="71"/>
      <c r="Q37" s="72"/>
      <c r="R37" s="14" t="b">
        <v>0</v>
      </c>
    </row>
    <row r="38" spans="1:18">
      <c r="A38" s="23">
        <v>45960</v>
      </c>
      <c r="B38" s="99">
        <v>0.29166666666666702</v>
      </c>
      <c r="C38" s="99"/>
      <c r="D38" s="67">
        <v>0.625</v>
      </c>
      <c r="E38" s="68"/>
      <c r="F38" s="55">
        <v>2.0833333333333332E-2</v>
      </c>
      <c r="G38" s="55"/>
      <c r="H38" s="107">
        <f t="shared" si="0"/>
        <v>0.31249999999999967</v>
      </c>
      <c r="I38" s="55"/>
      <c r="J38" s="108"/>
      <c r="K38" s="55">
        <f t="shared" si="1"/>
        <v>0.26666666666666666</v>
      </c>
      <c r="L38" s="55"/>
      <c r="M38" s="55"/>
      <c r="N38" s="20" t="str">
        <f t="shared" si="2"/>
        <v>+1:06</v>
      </c>
      <c r="O38" s="73"/>
      <c r="P38" s="73"/>
      <c r="Q38" s="74"/>
      <c r="R38" s="21" t="b">
        <v>0</v>
      </c>
    </row>
    <row r="39" spans="1:18" ht="16.2" thickBot="1">
      <c r="A39" s="25">
        <v>45961</v>
      </c>
      <c r="B39" s="100"/>
      <c r="C39" s="100"/>
      <c r="D39" s="69"/>
      <c r="E39" s="70"/>
      <c r="F39" s="56"/>
      <c r="G39" s="56"/>
      <c r="H39" s="109">
        <f t="shared" si="0"/>
        <v>0.26666666666666666</v>
      </c>
      <c r="I39" s="56"/>
      <c r="J39" s="110"/>
      <c r="K39" s="56">
        <f t="shared" si="1"/>
        <v>0.26666666666666666</v>
      </c>
      <c r="L39" s="56"/>
      <c r="M39" s="56"/>
      <c r="N39" s="17" t="str">
        <f t="shared" si="2"/>
        <v>±0:00</v>
      </c>
      <c r="O39" s="97" t="s">
        <v>48</v>
      </c>
      <c r="P39" s="97"/>
      <c r="Q39" s="98"/>
      <c r="R39" s="18" t="b">
        <v>1</v>
      </c>
    </row>
    <row r="40" spans="1:18">
      <c r="A40" s="127" t="s">
        <v>20</v>
      </c>
      <c r="B40" s="28"/>
      <c r="C40" s="28"/>
      <c r="D40" s="28"/>
      <c r="E40" s="28"/>
      <c r="F40" s="29"/>
      <c r="G40" s="30"/>
      <c r="H40" s="34">
        <f>SUM(H9:J39)</f>
        <v>6.3881944444444425</v>
      </c>
      <c r="I40" s="35"/>
      <c r="J40" s="36"/>
      <c r="K40" s="40">
        <f>SUM(K9:M39)</f>
        <v>6.1333333333333329</v>
      </c>
      <c r="L40" s="41"/>
      <c r="M40" s="42"/>
    </row>
    <row r="41" spans="1:18" ht="16.2" thickBot="1">
      <c r="A41" s="31"/>
      <c r="B41" s="32"/>
      <c r="C41" s="32"/>
      <c r="D41" s="32"/>
      <c r="E41" s="32"/>
      <c r="F41" s="32"/>
      <c r="G41" s="33"/>
      <c r="H41" s="37"/>
      <c r="I41" s="38"/>
      <c r="J41" s="39"/>
      <c r="K41" s="37"/>
      <c r="L41" s="38"/>
      <c r="M41" s="39"/>
    </row>
    <row r="42" spans="1:18">
      <c r="A42" s="43" t="s">
        <v>21</v>
      </c>
      <c r="B42" s="44"/>
      <c r="C42" s="44"/>
      <c r="D42" s="44"/>
      <c r="E42" s="44"/>
      <c r="F42" s="44"/>
      <c r="G42" s="45"/>
      <c r="H42" s="49" t="str">
        <f>IF(Q5+H40-K40=0, "±0:00", TEXT(Q5+H40-K40, """+""[h]:mm;""-""[h]:mm"))</f>
        <v>+27:41</v>
      </c>
      <c r="I42" s="50"/>
      <c r="J42" s="51"/>
    </row>
    <row r="43" spans="1:18" ht="16.2" thickBot="1">
      <c r="A43" s="46"/>
      <c r="B43" s="47"/>
      <c r="C43" s="47"/>
      <c r="D43" s="47"/>
      <c r="E43" s="47"/>
      <c r="F43" s="47"/>
      <c r="G43" s="48"/>
      <c r="H43" s="52"/>
      <c r="I43" s="53"/>
      <c r="J43" s="54"/>
    </row>
  </sheetData>
  <mergeCells count="208"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</mergeCells>
  <pageMargins left="0.7" right="0.7" top="0.75" bottom="0.75" header="0.3" footer="0.3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96DE-3394-1245-A8DB-B207A05E0047}">
  <sheetPr>
    <pageSetUpPr fitToPage="1"/>
  </sheetPr>
  <dimension ref="A1:V43"/>
  <sheetViews>
    <sheetView topLeftCell="A12" workbookViewId="0">
      <selection activeCell="S30" sqref="S30"/>
    </sheetView>
  </sheetViews>
  <sheetFormatPr baseColWidth="10" defaultRowHeight="15.6"/>
  <sheetData>
    <row r="1" spans="1:22" ht="15.9" customHeight="1">
      <c r="A1" s="85" t="s">
        <v>31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T1" s="91" t="s">
        <v>14</v>
      </c>
      <c r="U1" s="92"/>
      <c r="V1" s="93"/>
    </row>
    <row r="2" spans="1:22" ht="15.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T2" s="94"/>
      <c r="U2" s="95"/>
      <c r="V2" s="96"/>
    </row>
    <row r="3" spans="1:22" ht="15.9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T3" s="4" t="s">
        <v>2</v>
      </c>
      <c r="U3" s="3" t="s">
        <v>3</v>
      </c>
      <c r="V3" s="5" t="s">
        <v>4</v>
      </c>
    </row>
    <row r="4" spans="1:22" ht="17.100000000000001" customHeight="1" thickBot="1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T4" s="2" t="s">
        <v>9</v>
      </c>
      <c r="U4">
        <v>7</v>
      </c>
      <c r="V4" s="6">
        <v>14</v>
      </c>
    </row>
    <row r="5" spans="1:22" ht="15.9" customHeight="1">
      <c r="A5" s="113" t="s">
        <v>0</v>
      </c>
      <c r="B5" s="114"/>
      <c r="C5" s="115"/>
      <c r="D5" s="119" t="s">
        <v>17</v>
      </c>
      <c r="E5" s="120"/>
      <c r="F5" s="120"/>
      <c r="G5" s="120"/>
      <c r="H5" s="121"/>
      <c r="I5" s="119" t="s">
        <v>1</v>
      </c>
      <c r="J5" s="120"/>
      <c r="K5" s="121"/>
      <c r="L5" s="125">
        <v>32</v>
      </c>
      <c r="M5" s="59" t="s">
        <v>16</v>
      </c>
      <c r="N5" s="60"/>
      <c r="O5" s="60"/>
      <c r="P5" s="61"/>
      <c r="Q5" s="40">
        <v>1.1534722222222222</v>
      </c>
      <c r="R5" s="76"/>
      <c r="T5" s="2" t="s">
        <v>10</v>
      </c>
      <c r="U5">
        <v>7</v>
      </c>
      <c r="V5" s="6">
        <v>17</v>
      </c>
    </row>
    <row r="6" spans="1:22" ht="18.899999999999999" customHeight="1" thickBot="1">
      <c r="A6" s="116"/>
      <c r="B6" s="117"/>
      <c r="C6" s="118"/>
      <c r="D6" s="122"/>
      <c r="E6" s="123"/>
      <c r="F6" s="123"/>
      <c r="G6" s="123"/>
      <c r="H6" s="124"/>
      <c r="I6" s="122"/>
      <c r="J6" s="123"/>
      <c r="K6" s="124"/>
      <c r="L6" s="126"/>
      <c r="M6" s="62"/>
      <c r="N6" s="63"/>
      <c r="O6" s="63"/>
      <c r="P6" s="64"/>
      <c r="Q6" s="77"/>
      <c r="R6" s="78"/>
      <c r="T6" s="2" t="s">
        <v>11</v>
      </c>
      <c r="U6">
        <v>7</v>
      </c>
      <c r="V6" s="6">
        <v>14</v>
      </c>
    </row>
    <row r="7" spans="1:22" ht="15.9" customHeight="1">
      <c r="A7" s="57" t="s">
        <v>2</v>
      </c>
      <c r="B7" s="80" t="s">
        <v>3</v>
      </c>
      <c r="C7" s="42"/>
      <c r="D7" s="80" t="s">
        <v>4</v>
      </c>
      <c r="E7" s="42"/>
      <c r="F7" s="80" t="s">
        <v>5</v>
      </c>
      <c r="G7" s="42"/>
      <c r="H7" s="80" t="s">
        <v>6</v>
      </c>
      <c r="I7" s="41"/>
      <c r="J7" s="42"/>
      <c r="K7" s="80" t="s">
        <v>7</v>
      </c>
      <c r="L7" s="41"/>
      <c r="M7" s="42"/>
      <c r="N7" s="57" t="s">
        <v>18</v>
      </c>
      <c r="O7" s="80" t="s">
        <v>8</v>
      </c>
      <c r="P7" s="41"/>
      <c r="Q7" s="41"/>
      <c r="R7" s="57" t="s">
        <v>19</v>
      </c>
      <c r="S7" s="1"/>
      <c r="T7" s="2" t="s">
        <v>12</v>
      </c>
      <c r="U7">
        <v>7</v>
      </c>
      <c r="V7" s="6">
        <v>14</v>
      </c>
    </row>
    <row r="8" spans="1:22" ht="17.100000000000001" customHeight="1" thickBot="1">
      <c r="A8" s="58"/>
      <c r="B8" s="81"/>
      <c r="C8" s="36"/>
      <c r="D8" s="81"/>
      <c r="E8" s="36"/>
      <c r="F8" s="37"/>
      <c r="G8" s="39"/>
      <c r="H8" s="81"/>
      <c r="I8" s="35"/>
      <c r="J8" s="36"/>
      <c r="K8" s="81"/>
      <c r="L8" s="35"/>
      <c r="M8" s="36"/>
      <c r="N8" s="58"/>
      <c r="O8" s="81"/>
      <c r="P8" s="35"/>
      <c r="Q8" s="35"/>
      <c r="R8" s="75"/>
      <c r="S8" s="1"/>
      <c r="T8" s="7" t="s">
        <v>13</v>
      </c>
      <c r="U8" s="8">
        <v>7</v>
      </c>
      <c r="V8" s="9">
        <v>11</v>
      </c>
    </row>
    <row r="9" spans="1:22">
      <c r="A9" s="22">
        <v>45962</v>
      </c>
      <c r="B9" s="104"/>
      <c r="C9" s="104"/>
      <c r="D9" s="102"/>
      <c r="E9" s="103"/>
      <c r="F9" s="82"/>
      <c r="G9" s="82"/>
      <c r="H9" s="111"/>
      <c r="I9" s="82"/>
      <c r="J9" s="112"/>
      <c r="K9" s="82"/>
      <c r="L9" s="82"/>
      <c r="M9" s="82"/>
      <c r="N9" s="11" t="str">
        <f>IF(H9-K9=0, "±0:00", IF(H9-K9&gt;0, "+" &amp; TEXT(H9-K9, "[h]:mm"), "-" &amp; TEXT(ABS(H9-K9), "[h]:mm")))</f>
        <v>±0:00</v>
      </c>
      <c r="O9" s="83" t="s">
        <v>15</v>
      </c>
      <c r="P9" s="83"/>
      <c r="Q9" s="84"/>
      <c r="R9" s="12" t="b">
        <v>0</v>
      </c>
    </row>
    <row r="10" spans="1:22">
      <c r="A10" s="23">
        <v>45963</v>
      </c>
      <c r="B10" s="99"/>
      <c r="C10" s="99"/>
      <c r="D10" s="67"/>
      <c r="E10" s="68"/>
      <c r="F10" s="55"/>
      <c r="G10" s="55"/>
      <c r="H10" s="107"/>
      <c r="I10" s="55"/>
      <c r="J10" s="108"/>
      <c r="K10" s="55"/>
      <c r="L10" s="55"/>
      <c r="M10" s="55"/>
      <c r="N10" s="20" t="str">
        <f t="shared" ref="N10:N38" si="0">IF(H10-K10=0, "±0:00", IF(H10-K10&gt;0, "+" &amp; TEXT(H10-K10, "[h]:mm"), "-" &amp; TEXT(ABS(H10-K10), "[h]:mm")))</f>
        <v>±0:00</v>
      </c>
      <c r="O10" s="73" t="s">
        <v>15</v>
      </c>
      <c r="P10" s="73"/>
      <c r="Q10" s="74"/>
      <c r="R10" s="21" t="b">
        <v>0</v>
      </c>
    </row>
    <row r="11" spans="1:22">
      <c r="A11" s="24">
        <v>45964</v>
      </c>
      <c r="B11" s="101">
        <v>0.29166666666666702</v>
      </c>
      <c r="C11" s="101"/>
      <c r="D11" s="65">
        <v>0.60416666666666663</v>
      </c>
      <c r="E11" s="66"/>
      <c r="F11" s="79">
        <v>2.0833333333333332E-2</v>
      </c>
      <c r="G11" s="79"/>
      <c r="H11" s="105">
        <f t="shared" ref="H11:H36" si="1">IF(R11=TRUE, K11, IF(OR(ISBLANK(B11), ISBLANK(D11)), 0, IF(D11&gt;B11, D11-B11-F11, 1-B11+D11-F11)))</f>
        <v>0.2916666666666663</v>
      </c>
      <c r="I11" s="79"/>
      <c r="J11" s="106"/>
      <c r="K11" s="79">
        <f t="shared" ref="K11:K36" si="2">IF(OR(WEEKDAY(A11,2)=6,WEEKDAY(A11,2)=7),0,($L$5/5)/24)</f>
        <v>0.26666666666666666</v>
      </c>
      <c r="L11" s="79"/>
      <c r="M11" s="79"/>
      <c r="N11" s="13" t="str">
        <f t="shared" si="0"/>
        <v>+0:36</v>
      </c>
      <c r="O11" s="71" t="s">
        <v>52</v>
      </c>
      <c r="P11" s="71"/>
      <c r="Q11" s="72"/>
      <c r="R11" s="14" t="b">
        <v>0</v>
      </c>
    </row>
    <row r="12" spans="1:22">
      <c r="A12" s="23">
        <v>45965</v>
      </c>
      <c r="B12" s="99">
        <v>0.29166666666666702</v>
      </c>
      <c r="C12" s="99"/>
      <c r="D12" s="67">
        <v>0.75</v>
      </c>
      <c r="E12" s="68"/>
      <c r="F12" s="55">
        <v>3.125E-2</v>
      </c>
      <c r="G12" s="55"/>
      <c r="H12" s="107">
        <f t="shared" si="1"/>
        <v>0.42708333333333298</v>
      </c>
      <c r="I12" s="55"/>
      <c r="J12" s="108"/>
      <c r="K12" s="55">
        <f t="shared" si="2"/>
        <v>0.26666666666666666</v>
      </c>
      <c r="L12" s="55"/>
      <c r="M12" s="55"/>
      <c r="N12" s="20" t="str">
        <f t="shared" si="0"/>
        <v>+3:51</v>
      </c>
      <c r="O12" s="73"/>
      <c r="P12" s="73"/>
      <c r="Q12" s="74"/>
      <c r="R12" s="21" t="b">
        <v>0</v>
      </c>
    </row>
    <row r="13" spans="1:22">
      <c r="A13" s="24">
        <v>45966</v>
      </c>
      <c r="B13" s="101"/>
      <c r="C13" s="101"/>
      <c r="D13" s="65"/>
      <c r="E13" s="66"/>
      <c r="F13" s="79"/>
      <c r="G13" s="79"/>
      <c r="H13" s="105">
        <f t="shared" si="1"/>
        <v>0</v>
      </c>
      <c r="I13" s="79"/>
      <c r="J13" s="106"/>
      <c r="K13" s="79">
        <f t="shared" si="2"/>
        <v>0.26666666666666666</v>
      </c>
      <c r="L13" s="79"/>
      <c r="M13" s="79"/>
      <c r="N13" s="13" t="str">
        <f t="shared" si="0"/>
        <v>-6:24</v>
      </c>
      <c r="O13" s="71" t="s">
        <v>23</v>
      </c>
      <c r="P13" s="71"/>
      <c r="Q13" s="72"/>
      <c r="R13" s="14" t="b">
        <v>0</v>
      </c>
    </row>
    <row r="14" spans="1:22">
      <c r="A14" s="23">
        <v>45967</v>
      </c>
      <c r="B14" s="99">
        <v>0.28819444444444442</v>
      </c>
      <c r="C14" s="99"/>
      <c r="D14" s="67">
        <v>0.625</v>
      </c>
      <c r="E14" s="68"/>
      <c r="F14" s="55">
        <v>8.3333333333333329E-2</v>
      </c>
      <c r="G14" s="55"/>
      <c r="H14" s="107">
        <f t="shared" si="1"/>
        <v>0.25347222222222227</v>
      </c>
      <c r="I14" s="55"/>
      <c r="J14" s="108"/>
      <c r="K14" s="55">
        <f t="shared" si="2"/>
        <v>0.26666666666666666</v>
      </c>
      <c r="L14" s="55"/>
      <c r="M14" s="55"/>
      <c r="N14" s="20" t="str">
        <f t="shared" si="0"/>
        <v>-0:19</v>
      </c>
      <c r="O14" s="73" t="s">
        <v>54</v>
      </c>
      <c r="P14" s="73"/>
      <c r="Q14" s="74"/>
      <c r="R14" s="21" t="b">
        <v>0</v>
      </c>
    </row>
    <row r="15" spans="1:22">
      <c r="A15" s="24">
        <v>45968</v>
      </c>
      <c r="B15" s="101"/>
      <c r="C15" s="101"/>
      <c r="D15" s="65"/>
      <c r="E15" s="66"/>
      <c r="F15" s="79"/>
      <c r="G15" s="79"/>
      <c r="H15" s="105">
        <f t="shared" si="1"/>
        <v>0.26666666666666666</v>
      </c>
      <c r="I15" s="79"/>
      <c r="J15" s="106"/>
      <c r="K15" s="79">
        <f t="shared" si="2"/>
        <v>0.26666666666666666</v>
      </c>
      <c r="L15" s="79"/>
      <c r="M15" s="79"/>
      <c r="N15" s="13" t="str">
        <f t="shared" si="0"/>
        <v>±0:00</v>
      </c>
      <c r="O15" s="71" t="s">
        <v>53</v>
      </c>
      <c r="P15" s="71"/>
      <c r="Q15" s="72"/>
      <c r="R15" s="14" t="b">
        <v>1</v>
      </c>
    </row>
    <row r="16" spans="1:22">
      <c r="A16" s="23">
        <v>45969</v>
      </c>
      <c r="B16" s="99"/>
      <c r="C16" s="99"/>
      <c r="D16" s="67"/>
      <c r="E16" s="68"/>
      <c r="F16" s="55"/>
      <c r="G16" s="55"/>
      <c r="H16" s="107"/>
      <c r="I16" s="55"/>
      <c r="J16" s="108"/>
      <c r="K16" s="55"/>
      <c r="L16" s="55"/>
      <c r="M16" s="55"/>
      <c r="N16" s="20" t="str">
        <f t="shared" si="0"/>
        <v>±0:00</v>
      </c>
      <c r="O16" s="73" t="s">
        <v>15</v>
      </c>
      <c r="P16" s="73"/>
      <c r="Q16" s="74"/>
      <c r="R16" s="21" t="b">
        <v>0</v>
      </c>
    </row>
    <row r="17" spans="1:18">
      <c r="A17" s="24">
        <v>45970</v>
      </c>
      <c r="B17" s="101"/>
      <c r="C17" s="101"/>
      <c r="D17" s="65"/>
      <c r="E17" s="66"/>
      <c r="F17" s="79"/>
      <c r="G17" s="79"/>
      <c r="H17" s="105"/>
      <c r="I17" s="79"/>
      <c r="J17" s="106"/>
      <c r="K17" s="79"/>
      <c r="L17" s="79"/>
      <c r="M17" s="79"/>
      <c r="N17" s="13" t="str">
        <f t="shared" si="0"/>
        <v>±0:00</v>
      </c>
      <c r="O17" s="71" t="s">
        <v>15</v>
      </c>
      <c r="P17" s="71"/>
      <c r="Q17" s="72"/>
      <c r="R17" s="14" t="b">
        <v>0</v>
      </c>
    </row>
    <row r="18" spans="1:18">
      <c r="A18" s="23">
        <v>45971</v>
      </c>
      <c r="B18" s="99"/>
      <c r="C18" s="99"/>
      <c r="D18" s="67"/>
      <c r="E18" s="68"/>
      <c r="F18" s="55"/>
      <c r="G18" s="55"/>
      <c r="H18" s="107">
        <f t="shared" si="1"/>
        <v>0.26666666666666666</v>
      </c>
      <c r="I18" s="55"/>
      <c r="J18" s="108"/>
      <c r="K18" s="55">
        <f t="shared" si="2"/>
        <v>0.26666666666666666</v>
      </c>
      <c r="L18" s="55"/>
      <c r="M18" s="55"/>
      <c r="N18" s="20" t="str">
        <f t="shared" si="0"/>
        <v>±0:00</v>
      </c>
      <c r="O18" s="73" t="s">
        <v>53</v>
      </c>
      <c r="P18" s="73"/>
      <c r="Q18" s="74"/>
      <c r="R18" s="21" t="b">
        <v>1</v>
      </c>
    </row>
    <row r="19" spans="1:18">
      <c r="A19" s="24">
        <v>45972</v>
      </c>
      <c r="B19" s="101">
        <v>0.29166666666666702</v>
      </c>
      <c r="C19" s="101"/>
      <c r="D19" s="65">
        <v>0.75</v>
      </c>
      <c r="E19" s="66"/>
      <c r="F19" s="79">
        <v>5.2083333333333336E-2</v>
      </c>
      <c r="G19" s="79"/>
      <c r="H19" s="105">
        <f t="shared" si="1"/>
        <v>0.40624999999999967</v>
      </c>
      <c r="I19" s="79"/>
      <c r="J19" s="106"/>
      <c r="K19" s="79">
        <f t="shared" si="2"/>
        <v>0.26666666666666666</v>
      </c>
      <c r="L19" s="79"/>
      <c r="M19" s="79"/>
      <c r="N19" s="13" t="str">
        <f t="shared" si="0"/>
        <v>+3:21</v>
      </c>
      <c r="O19" s="71"/>
      <c r="P19" s="71"/>
      <c r="Q19" s="72"/>
      <c r="R19" s="14" t="b">
        <v>0</v>
      </c>
    </row>
    <row r="20" spans="1:18">
      <c r="A20" s="23">
        <v>45973</v>
      </c>
      <c r="B20" s="99">
        <v>0.28819444444444442</v>
      </c>
      <c r="C20" s="99"/>
      <c r="D20" s="67">
        <v>0.60416666666666663</v>
      </c>
      <c r="E20" s="68"/>
      <c r="F20" s="55">
        <v>2.0833333333333332E-2</v>
      </c>
      <c r="G20" s="55"/>
      <c r="H20" s="107">
        <f t="shared" si="1"/>
        <v>0.2951388888888889</v>
      </c>
      <c r="I20" s="55"/>
      <c r="J20" s="108"/>
      <c r="K20" s="55">
        <f t="shared" si="2"/>
        <v>0.26666666666666666</v>
      </c>
      <c r="L20" s="55"/>
      <c r="M20" s="55"/>
      <c r="N20" s="20" t="str">
        <f t="shared" si="0"/>
        <v>+0:41</v>
      </c>
      <c r="O20" s="73" t="s">
        <v>55</v>
      </c>
      <c r="P20" s="73"/>
      <c r="Q20" s="74"/>
      <c r="R20" s="21" t="b">
        <v>0</v>
      </c>
    </row>
    <row r="21" spans="1:18">
      <c r="A21" s="24">
        <v>45974</v>
      </c>
      <c r="B21" s="101">
        <v>0.29166666666666702</v>
      </c>
      <c r="C21" s="101"/>
      <c r="D21" s="65">
        <v>0.57291666666666663</v>
      </c>
      <c r="E21" s="66"/>
      <c r="F21" s="79">
        <v>2.0833333333333332E-2</v>
      </c>
      <c r="G21" s="79"/>
      <c r="H21" s="105">
        <f t="shared" si="1"/>
        <v>0.2604166666666663</v>
      </c>
      <c r="I21" s="79"/>
      <c r="J21" s="106"/>
      <c r="K21" s="79">
        <f t="shared" si="2"/>
        <v>0.26666666666666666</v>
      </c>
      <c r="L21" s="79"/>
      <c r="M21" s="79"/>
      <c r="N21" s="13" t="str">
        <f t="shared" si="0"/>
        <v>-0:09</v>
      </c>
      <c r="O21" s="71" t="s">
        <v>56</v>
      </c>
      <c r="P21" s="71"/>
      <c r="Q21" s="72"/>
      <c r="R21" s="14" t="b">
        <v>0</v>
      </c>
    </row>
    <row r="22" spans="1:18">
      <c r="A22" s="23">
        <v>45975</v>
      </c>
      <c r="B22" s="99">
        <v>0.29166666666666702</v>
      </c>
      <c r="C22" s="99"/>
      <c r="D22" s="67">
        <v>0.5</v>
      </c>
      <c r="E22" s="68"/>
      <c r="F22" s="55"/>
      <c r="G22" s="55"/>
      <c r="H22" s="107">
        <f t="shared" si="1"/>
        <v>0.20833333333333298</v>
      </c>
      <c r="I22" s="55"/>
      <c r="J22" s="108"/>
      <c r="K22" s="55">
        <f t="shared" si="2"/>
        <v>0.26666666666666666</v>
      </c>
      <c r="L22" s="55"/>
      <c r="M22" s="55"/>
      <c r="N22" s="20" t="str">
        <f t="shared" si="0"/>
        <v>-1:24</v>
      </c>
      <c r="O22" s="73"/>
      <c r="P22" s="73"/>
      <c r="Q22" s="74"/>
      <c r="R22" s="21" t="b">
        <v>0</v>
      </c>
    </row>
    <row r="23" spans="1:18">
      <c r="A23" s="24">
        <v>45976</v>
      </c>
      <c r="B23" s="101"/>
      <c r="C23" s="101"/>
      <c r="D23" s="65"/>
      <c r="E23" s="66"/>
      <c r="F23" s="79"/>
      <c r="G23" s="79"/>
      <c r="H23" s="105"/>
      <c r="I23" s="79"/>
      <c r="J23" s="106"/>
      <c r="K23" s="79"/>
      <c r="L23" s="79"/>
      <c r="M23" s="79"/>
      <c r="N23" s="13" t="str">
        <f t="shared" si="0"/>
        <v>±0:00</v>
      </c>
      <c r="O23" s="71" t="s">
        <v>15</v>
      </c>
      <c r="P23" s="71"/>
      <c r="Q23" s="72"/>
      <c r="R23" s="14" t="b">
        <v>0</v>
      </c>
    </row>
    <row r="24" spans="1:18">
      <c r="A24" s="23">
        <v>45977</v>
      </c>
      <c r="B24" s="99"/>
      <c r="C24" s="99"/>
      <c r="D24" s="67"/>
      <c r="E24" s="68"/>
      <c r="F24" s="55"/>
      <c r="G24" s="55"/>
      <c r="H24" s="107"/>
      <c r="I24" s="55"/>
      <c r="J24" s="108"/>
      <c r="K24" s="55"/>
      <c r="L24" s="55"/>
      <c r="M24" s="55"/>
      <c r="N24" s="20" t="str">
        <f t="shared" si="0"/>
        <v>±0:00</v>
      </c>
      <c r="O24" s="73" t="s">
        <v>15</v>
      </c>
      <c r="P24" s="73"/>
      <c r="Q24" s="74"/>
      <c r="R24" s="21" t="b">
        <v>0</v>
      </c>
    </row>
    <row r="25" spans="1:18">
      <c r="A25" s="24">
        <v>45978</v>
      </c>
      <c r="B25" s="101"/>
      <c r="C25" s="101"/>
      <c r="D25" s="65"/>
      <c r="E25" s="66"/>
      <c r="F25" s="79"/>
      <c r="G25" s="79"/>
      <c r="H25" s="105">
        <f t="shared" si="1"/>
        <v>0</v>
      </c>
      <c r="I25" s="79"/>
      <c r="J25" s="106"/>
      <c r="K25" s="79">
        <f t="shared" si="2"/>
        <v>0.26666666666666666</v>
      </c>
      <c r="L25" s="79"/>
      <c r="M25" s="79"/>
      <c r="N25" s="13" t="str">
        <f t="shared" si="0"/>
        <v>-6:24</v>
      </c>
      <c r="O25" s="71" t="s">
        <v>23</v>
      </c>
      <c r="P25" s="71"/>
      <c r="Q25" s="72"/>
      <c r="R25" s="14" t="b">
        <v>0</v>
      </c>
    </row>
    <row r="26" spans="1:18">
      <c r="A26" s="23">
        <v>45979</v>
      </c>
      <c r="B26" s="99">
        <v>0.29166666666666702</v>
      </c>
      <c r="C26" s="99"/>
      <c r="D26" s="67">
        <v>0.75</v>
      </c>
      <c r="E26" s="68"/>
      <c r="F26" s="55">
        <v>3.125E-2</v>
      </c>
      <c r="G26" s="55"/>
      <c r="H26" s="107">
        <f t="shared" si="1"/>
        <v>0.42708333333333298</v>
      </c>
      <c r="I26" s="55"/>
      <c r="J26" s="108"/>
      <c r="K26" s="55">
        <f t="shared" si="2"/>
        <v>0.26666666666666666</v>
      </c>
      <c r="L26" s="55"/>
      <c r="M26" s="55"/>
      <c r="N26" s="20" t="str">
        <f t="shared" si="0"/>
        <v>+3:51</v>
      </c>
      <c r="O26" s="73"/>
      <c r="P26" s="73"/>
      <c r="Q26" s="74"/>
      <c r="R26" s="21" t="b">
        <v>0</v>
      </c>
    </row>
    <row r="27" spans="1:18">
      <c r="A27" s="24">
        <v>45980</v>
      </c>
      <c r="B27" s="101">
        <v>0.29166666666666702</v>
      </c>
      <c r="C27" s="101"/>
      <c r="D27" s="65">
        <v>0.76388888888888884</v>
      </c>
      <c r="E27" s="66"/>
      <c r="F27" s="79"/>
      <c r="G27" s="79"/>
      <c r="H27" s="105">
        <f t="shared" si="1"/>
        <v>0.47222222222222182</v>
      </c>
      <c r="I27" s="79"/>
      <c r="J27" s="106"/>
      <c r="K27" s="79">
        <f t="shared" si="2"/>
        <v>0.26666666666666666</v>
      </c>
      <c r="L27" s="79"/>
      <c r="M27" s="79"/>
      <c r="N27" s="13" t="str">
        <f t="shared" si="0"/>
        <v>+4:56</v>
      </c>
      <c r="O27" s="71" t="s">
        <v>57</v>
      </c>
      <c r="P27" s="71"/>
      <c r="Q27" s="72"/>
      <c r="R27" s="14" t="b">
        <v>0</v>
      </c>
    </row>
    <row r="28" spans="1:18">
      <c r="A28" s="23">
        <v>45981</v>
      </c>
      <c r="B28" s="99"/>
      <c r="C28" s="99"/>
      <c r="D28" s="67"/>
      <c r="E28" s="68"/>
      <c r="F28" s="55"/>
      <c r="G28" s="55"/>
      <c r="H28" s="107">
        <f t="shared" si="1"/>
        <v>0</v>
      </c>
      <c r="I28" s="55"/>
      <c r="J28" s="108"/>
      <c r="K28" s="55">
        <f t="shared" si="2"/>
        <v>0.26666666666666666</v>
      </c>
      <c r="L28" s="55"/>
      <c r="M28" s="55"/>
      <c r="N28" s="20" t="str">
        <f t="shared" si="0"/>
        <v>-6:24</v>
      </c>
      <c r="O28" s="73" t="s">
        <v>23</v>
      </c>
      <c r="P28" s="73"/>
      <c r="Q28" s="74"/>
      <c r="R28" s="21" t="b">
        <v>0</v>
      </c>
    </row>
    <row r="29" spans="1:18">
      <c r="A29" s="24">
        <v>45982</v>
      </c>
      <c r="B29" s="101">
        <v>0.29166666666666702</v>
      </c>
      <c r="C29" s="101"/>
      <c r="D29" s="65">
        <v>0.50694444444444442</v>
      </c>
      <c r="E29" s="66"/>
      <c r="F29" s="79"/>
      <c r="G29" s="79"/>
      <c r="H29" s="105">
        <f t="shared" si="1"/>
        <v>0.2152777777777774</v>
      </c>
      <c r="I29" s="79"/>
      <c r="J29" s="106"/>
      <c r="K29" s="79">
        <f t="shared" si="2"/>
        <v>0.26666666666666666</v>
      </c>
      <c r="L29" s="79"/>
      <c r="M29" s="79"/>
      <c r="N29" s="13" t="str">
        <f t="shared" si="0"/>
        <v>-1:14</v>
      </c>
      <c r="O29" s="71"/>
      <c r="P29" s="71"/>
      <c r="Q29" s="72"/>
      <c r="R29" s="14" t="b">
        <v>0</v>
      </c>
    </row>
    <row r="30" spans="1:18">
      <c r="A30" s="23">
        <v>45983</v>
      </c>
      <c r="B30" s="99"/>
      <c r="C30" s="99"/>
      <c r="D30" s="67"/>
      <c r="E30" s="68"/>
      <c r="F30" s="55"/>
      <c r="G30" s="55"/>
      <c r="H30" s="107"/>
      <c r="I30" s="55"/>
      <c r="J30" s="108"/>
      <c r="K30" s="55"/>
      <c r="L30" s="55"/>
      <c r="M30" s="55"/>
      <c r="N30" s="20" t="str">
        <f t="shared" si="0"/>
        <v>±0:00</v>
      </c>
      <c r="O30" s="73" t="s">
        <v>15</v>
      </c>
      <c r="P30" s="73"/>
      <c r="Q30" s="74"/>
      <c r="R30" s="21" t="b">
        <v>0</v>
      </c>
    </row>
    <row r="31" spans="1:18">
      <c r="A31" s="24">
        <v>45984</v>
      </c>
      <c r="B31" s="101"/>
      <c r="C31" s="101"/>
      <c r="D31" s="65"/>
      <c r="E31" s="66"/>
      <c r="F31" s="79"/>
      <c r="G31" s="79"/>
      <c r="H31" s="105"/>
      <c r="I31" s="79"/>
      <c r="J31" s="106"/>
      <c r="K31" s="79"/>
      <c r="L31" s="79"/>
      <c r="M31" s="79"/>
      <c r="N31" s="13" t="str">
        <f t="shared" si="0"/>
        <v>±0:00</v>
      </c>
      <c r="O31" s="71" t="s">
        <v>15</v>
      </c>
      <c r="P31" s="71"/>
      <c r="Q31" s="72"/>
      <c r="R31" s="14" t="b">
        <v>0</v>
      </c>
    </row>
    <row r="32" spans="1:18">
      <c r="A32" s="23">
        <v>45985</v>
      </c>
      <c r="B32" s="99">
        <v>0.29166666666666702</v>
      </c>
      <c r="C32" s="99"/>
      <c r="D32" s="67">
        <v>0.5625</v>
      </c>
      <c r="E32" s="68"/>
      <c r="F32" s="55">
        <v>2.0833333333333332E-2</v>
      </c>
      <c r="G32" s="55"/>
      <c r="H32" s="107">
        <f t="shared" si="1"/>
        <v>0.24999999999999964</v>
      </c>
      <c r="I32" s="55"/>
      <c r="J32" s="108"/>
      <c r="K32" s="55">
        <f t="shared" si="2"/>
        <v>0.26666666666666666</v>
      </c>
      <c r="L32" s="55"/>
      <c r="M32" s="55"/>
      <c r="N32" s="20" t="str">
        <f t="shared" si="0"/>
        <v>-0:24</v>
      </c>
      <c r="O32" s="73"/>
      <c r="P32" s="73"/>
      <c r="Q32" s="74"/>
      <c r="R32" s="21" t="b">
        <v>0</v>
      </c>
    </row>
    <row r="33" spans="1:18">
      <c r="A33" s="24">
        <v>45986</v>
      </c>
      <c r="B33" s="101">
        <v>0.29166666666666702</v>
      </c>
      <c r="C33" s="101"/>
      <c r="D33" s="65">
        <v>0.76736111111111116</v>
      </c>
      <c r="E33" s="66"/>
      <c r="F33" s="79">
        <v>0.10416666666666667</v>
      </c>
      <c r="G33" s="79"/>
      <c r="H33" s="105">
        <f t="shared" si="1"/>
        <v>0.37152777777777746</v>
      </c>
      <c r="I33" s="79"/>
      <c r="J33" s="106"/>
      <c r="K33" s="79">
        <f t="shared" si="2"/>
        <v>0.26666666666666666</v>
      </c>
      <c r="L33" s="79"/>
      <c r="M33" s="79"/>
      <c r="N33" s="13" t="str">
        <f t="shared" si="0"/>
        <v>+2:31</v>
      </c>
      <c r="O33" s="71" t="s">
        <v>58</v>
      </c>
      <c r="P33" s="71"/>
      <c r="Q33" s="72"/>
      <c r="R33" s="14" t="b">
        <v>0</v>
      </c>
    </row>
    <row r="34" spans="1:18">
      <c r="A34" s="23">
        <v>45987</v>
      </c>
      <c r="B34" s="99"/>
      <c r="C34" s="99"/>
      <c r="D34" s="67"/>
      <c r="E34" s="68"/>
      <c r="F34" s="55"/>
      <c r="G34" s="55"/>
      <c r="H34" s="107">
        <f t="shared" si="1"/>
        <v>0</v>
      </c>
      <c r="I34" s="55"/>
      <c r="J34" s="108"/>
      <c r="K34" s="55">
        <f t="shared" si="2"/>
        <v>0.26666666666666666</v>
      </c>
      <c r="L34" s="55"/>
      <c r="M34" s="55"/>
      <c r="N34" s="20" t="str">
        <f t="shared" si="0"/>
        <v>-6:24</v>
      </c>
      <c r="O34" s="73" t="s">
        <v>23</v>
      </c>
      <c r="P34" s="73"/>
      <c r="Q34" s="74"/>
      <c r="R34" s="21" t="b">
        <v>0</v>
      </c>
    </row>
    <row r="35" spans="1:18">
      <c r="A35" s="24">
        <v>45988</v>
      </c>
      <c r="B35" s="101">
        <v>0.29166666666666702</v>
      </c>
      <c r="C35" s="101"/>
      <c r="D35" s="65">
        <v>0.625</v>
      </c>
      <c r="E35" s="66"/>
      <c r="F35" s="79">
        <v>2.0833333333333332E-2</v>
      </c>
      <c r="G35" s="79"/>
      <c r="H35" s="105">
        <f t="shared" si="1"/>
        <v>0.31249999999999967</v>
      </c>
      <c r="I35" s="79"/>
      <c r="J35" s="106"/>
      <c r="K35" s="79">
        <f t="shared" si="2"/>
        <v>0.26666666666666666</v>
      </c>
      <c r="L35" s="79"/>
      <c r="M35" s="79"/>
      <c r="N35" s="13" t="str">
        <f t="shared" si="0"/>
        <v>+1:06</v>
      </c>
      <c r="O35" s="71"/>
      <c r="P35" s="71"/>
      <c r="Q35" s="72"/>
      <c r="R35" s="14" t="b">
        <v>0</v>
      </c>
    </row>
    <row r="36" spans="1:18">
      <c r="A36" s="23">
        <v>45989</v>
      </c>
      <c r="B36" s="99">
        <v>0.29166666666666702</v>
      </c>
      <c r="C36" s="99"/>
      <c r="D36" s="67">
        <v>0.5</v>
      </c>
      <c r="E36" s="68"/>
      <c r="F36" s="55">
        <v>4.1666666666666664E-2</v>
      </c>
      <c r="G36" s="55"/>
      <c r="H36" s="107">
        <f t="shared" si="1"/>
        <v>0.16666666666666632</v>
      </c>
      <c r="I36" s="55"/>
      <c r="J36" s="108"/>
      <c r="K36" s="55">
        <f t="shared" si="2"/>
        <v>0.26666666666666666</v>
      </c>
      <c r="L36" s="55"/>
      <c r="M36" s="55"/>
      <c r="N36" s="20" t="str">
        <f t="shared" si="0"/>
        <v>-2:24</v>
      </c>
      <c r="O36" s="73" t="s">
        <v>59</v>
      </c>
      <c r="P36" s="73"/>
      <c r="Q36" s="74"/>
      <c r="R36" s="21" t="b">
        <v>0</v>
      </c>
    </row>
    <row r="37" spans="1:18">
      <c r="A37" s="24">
        <v>45990</v>
      </c>
      <c r="B37" s="101"/>
      <c r="C37" s="101"/>
      <c r="D37" s="65"/>
      <c r="E37" s="66"/>
      <c r="F37" s="79"/>
      <c r="G37" s="79"/>
      <c r="H37" s="105"/>
      <c r="I37" s="79"/>
      <c r="J37" s="106"/>
      <c r="K37" s="79"/>
      <c r="L37" s="79"/>
      <c r="M37" s="79"/>
      <c r="N37" s="13" t="str">
        <f t="shared" si="0"/>
        <v>±0:00</v>
      </c>
      <c r="O37" s="71" t="s">
        <v>15</v>
      </c>
      <c r="P37" s="71"/>
      <c r="Q37" s="72"/>
      <c r="R37" s="14" t="b">
        <v>0</v>
      </c>
    </row>
    <row r="38" spans="1:18">
      <c r="A38" s="23">
        <v>45991</v>
      </c>
      <c r="B38" s="99"/>
      <c r="C38" s="99"/>
      <c r="D38" s="67"/>
      <c r="E38" s="68"/>
      <c r="F38" s="55"/>
      <c r="G38" s="55"/>
      <c r="H38" s="107"/>
      <c r="I38" s="55"/>
      <c r="J38" s="108"/>
      <c r="K38" s="55"/>
      <c r="L38" s="55"/>
      <c r="M38" s="55"/>
      <c r="N38" s="20" t="str">
        <f t="shared" si="0"/>
        <v>±0:00</v>
      </c>
      <c r="O38" s="73" t="s">
        <v>15</v>
      </c>
      <c r="P38" s="73"/>
      <c r="Q38" s="74"/>
      <c r="R38" s="21" t="b">
        <v>0</v>
      </c>
    </row>
    <row r="39" spans="1:18" ht="16.2" thickBot="1">
      <c r="A39" s="25"/>
      <c r="B39" s="100"/>
      <c r="C39" s="100"/>
      <c r="D39" s="69"/>
      <c r="E39" s="70"/>
      <c r="F39" s="56"/>
      <c r="G39" s="56"/>
      <c r="H39" s="109"/>
      <c r="I39" s="56"/>
      <c r="J39" s="110"/>
      <c r="K39" s="56"/>
      <c r="L39" s="56"/>
      <c r="M39" s="56"/>
      <c r="N39" s="17"/>
      <c r="O39" s="97" t="s">
        <v>33</v>
      </c>
      <c r="P39" s="97"/>
      <c r="Q39" s="98"/>
      <c r="R39" s="18" t="b">
        <v>0</v>
      </c>
    </row>
    <row r="40" spans="1:18">
      <c r="A40" s="127" t="s">
        <v>20</v>
      </c>
      <c r="B40" s="28"/>
      <c r="C40" s="28"/>
      <c r="D40" s="28"/>
      <c r="E40" s="28"/>
      <c r="F40" s="29"/>
      <c r="G40" s="30"/>
      <c r="H40" s="34">
        <f>SUM(H9:J39)</f>
        <v>4.8909722222222189</v>
      </c>
      <c r="I40" s="35"/>
      <c r="J40" s="36"/>
      <c r="K40" s="40">
        <f>SUM(K9:M39)</f>
        <v>5.333333333333333</v>
      </c>
      <c r="L40" s="41"/>
      <c r="M40" s="42"/>
    </row>
    <row r="41" spans="1:18" ht="16.2" thickBot="1">
      <c r="A41" s="31"/>
      <c r="B41" s="32"/>
      <c r="C41" s="32"/>
      <c r="D41" s="32"/>
      <c r="E41" s="32"/>
      <c r="F41" s="32"/>
      <c r="G41" s="33"/>
      <c r="H41" s="37"/>
      <c r="I41" s="38"/>
      <c r="J41" s="39"/>
      <c r="K41" s="37"/>
      <c r="L41" s="38"/>
      <c r="M41" s="39"/>
    </row>
    <row r="42" spans="1:18">
      <c r="A42" s="43" t="s">
        <v>21</v>
      </c>
      <c r="B42" s="44"/>
      <c r="C42" s="44"/>
      <c r="D42" s="44"/>
      <c r="E42" s="44"/>
      <c r="F42" s="44"/>
      <c r="G42" s="45"/>
      <c r="H42" s="49" t="str">
        <f>IF(Q5+H40-K40=0, "±0:00", TEXT(Q5+H40-K40, """+""[h]:mm;""-""[h]:mm"))</f>
        <v>+17:04</v>
      </c>
      <c r="I42" s="50"/>
      <c r="J42" s="51"/>
    </row>
    <row r="43" spans="1:18" ht="16.2" thickBot="1">
      <c r="A43" s="46"/>
      <c r="B43" s="47"/>
      <c r="C43" s="47"/>
      <c r="D43" s="47"/>
      <c r="E43" s="47"/>
      <c r="F43" s="47"/>
      <c r="G43" s="48"/>
      <c r="H43" s="52"/>
      <c r="I43" s="53"/>
      <c r="J43" s="54"/>
    </row>
  </sheetData>
  <mergeCells count="208"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</mergeCells>
  <pageMargins left="0.7" right="0.7" top="0.75" bottom="0.75" header="0.3" footer="0.3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EBFD-00B9-C847-B864-66E43542C388}">
  <sheetPr>
    <pageSetUpPr fitToPage="1"/>
  </sheetPr>
  <dimension ref="A1:V43"/>
  <sheetViews>
    <sheetView tabSelected="1" zoomScaleNormal="100" workbookViewId="0">
      <selection sqref="A1:R44"/>
    </sheetView>
  </sheetViews>
  <sheetFormatPr baseColWidth="10" defaultRowHeight="15.6"/>
  <sheetData>
    <row r="1" spans="1:22" ht="15.9" customHeight="1">
      <c r="A1" s="85" t="s">
        <v>32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T1" s="91" t="s">
        <v>14</v>
      </c>
      <c r="U1" s="92"/>
      <c r="V1" s="93"/>
    </row>
    <row r="2" spans="1:22" ht="15.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T2" s="94"/>
      <c r="U2" s="95"/>
      <c r="V2" s="96"/>
    </row>
    <row r="3" spans="1:22" ht="15.9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T3" s="4" t="s">
        <v>2</v>
      </c>
      <c r="U3" s="3" t="s">
        <v>3</v>
      </c>
      <c r="V3" s="5" t="s">
        <v>4</v>
      </c>
    </row>
    <row r="4" spans="1:22" ht="17.100000000000001" customHeight="1" thickBot="1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T4" s="2" t="s">
        <v>9</v>
      </c>
      <c r="U4">
        <v>7</v>
      </c>
      <c r="V4" s="6">
        <v>14</v>
      </c>
    </row>
    <row r="5" spans="1:22" ht="15.9" customHeight="1">
      <c r="A5" s="113" t="s">
        <v>0</v>
      </c>
      <c r="B5" s="114"/>
      <c r="C5" s="115"/>
      <c r="D5" s="119" t="s">
        <v>17</v>
      </c>
      <c r="E5" s="120"/>
      <c r="F5" s="120"/>
      <c r="G5" s="120"/>
      <c r="H5" s="121"/>
      <c r="I5" s="119" t="s">
        <v>1</v>
      </c>
      <c r="J5" s="120"/>
      <c r="K5" s="121"/>
      <c r="L5" s="125">
        <v>32</v>
      </c>
      <c r="M5" s="59" t="s">
        <v>16</v>
      </c>
      <c r="N5" s="60"/>
      <c r="O5" s="60"/>
      <c r="P5" s="61"/>
      <c r="Q5" s="40">
        <v>0.71111111111111114</v>
      </c>
      <c r="R5" s="76"/>
      <c r="T5" s="2" t="s">
        <v>10</v>
      </c>
      <c r="U5">
        <v>7</v>
      </c>
      <c r="V5" s="6">
        <v>17</v>
      </c>
    </row>
    <row r="6" spans="1:22" ht="18.899999999999999" customHeight="1" thickBot="1">
      <c r="A6" s="116"/>
      <c r="B6" s="117"/>
      <c r="C6" s="118"/>
      <c r="D6" s="122"/>
      <c r="E6" s="123"/>
      <c r="F6" s="123"/>
      <c r="G6" s="123"/>
      <c r="H6" s="124"/>
      <c r="I6" s="122"/>
      <c r="J6" s="123"/>
      <c r="K6" s="124"/>
      <c r="L6" s="126"/>
      <c r="M6" s="62"/>
      <c r="N6" s="63"/>
      <c r="O6" s="63"/>
      <c r="P6" s="64"/>
      <c r="Q6" s="77"/>
      <c r="R6" s="78"/>
      <c r="T6" s="2" t="s">
        <v>11</v>
      </c>
      <c r="U6">
        <v>7</v>
      </c>
      <c r="V6" s="6">
        <v>14</v>
      </c>
    </row>
    <row r="7" spans="1:22" ht="15.9" customHeight="1">
      <c r="A7" s="57" t="s">
        <v>2</v>
      </c>
      <c r="B7" s="80" t="s">
        <v>3</v>
      </c>
      <c r="C7" s="42"/>
      <c r="D7" s="80" t="s">
        <v>4</v>
      </c>
      <c r="E7" s="42"/>
      <c r="F7" s="80" t="s">
        <v>5</v>
      </c>
      <c r="G7" s="42"/>
      <c r="H7" s="80" t="s">
        <v>6</v>
      </c>
      <c r="I7" s="41"/>
      <c r="J7" s="42"/>
      <c r="K7" s="80" t="s">
        <v>7</v>
      </c>
      <c r="L7" s="41"/>
      <c r="M7" s="42"/>
      <c r="N7" s="57" t="s">
        <v>18</v>
      </c>
      <c r="O7" s="80" t="s">
        <v>8</v>
      </c>
      <c r="P7" s="41"/>
      <c r="Q7" s="41"/>
      <c r="R7" s="57" t="s">
        <v>19</v>
      </c>
      <c r="S7" s="1"/>
      <c r="T7" s="2" t="s">
        <v>12</v>
      </c>
      <c r="U7">
        <v>7</v>
      </c>
      <c r="V7" s="6">
        <v>14</v>
      </c>
    </row>
    <row r="8" spans="1:22" ht="17.100000000000001" customHeight="1" thickBot="1">
      <c r="A8" s="58"/>
      <c r="B8" s="81"/>
      <c r="C8" s="36"/>
      <c r="D8" s="81"/>
      <c r="E8" s="36"/>
      <c r="F8" s="37"/>
      <c r="G8" s="39"/>
      <c r="H8" s="81"/>
      <c r="I8" s="35"/>
      <c r="J8" s="36"/>
      <c r="K8" s="81"/>
      <c r="L8" s="35"/>
      <c r="M8" s="36"/>
      <c r="N8" s="58"/>
      <c r="O8" s="81"/>
      <c r="P8" s="35"/>
      <c r="Q8" s="35"/>
      <c r="R8" s="75"/>
      <c r="S8" s="1"/>
      <c r="T8" s="7" t="s">
        <v>13</v>
      </c>
      <c r="U8" s="8">
        <v>7</v>
      </c>
      <c r="V8" s="9">
        <v>11</v>
      </c>
    </row>
    <row r="9" spans="1:22">
      <c r="A9" s="22">
        <v>45992</v>
      </c>
      <c r="B9" s="104"/>
      <c r="C9" s="104"/>
      <c r="D9" s="102"/>
      <c r="E9" s="103"/>
      <c r="F9" s="82"/>
      <c r="G9" s="82"/>
      <c r="H9" s="111">
        <f>IF(R9=TRUE, K9, IF(OR(ISBLANK(B9), ISBLANK(D9)), 0, IF(D9&gt;B9, D9-B9-F9, 1-B9+D9-F9)))</f>
        <v>0</v>
      </c>
      <c r="I9" s="82"/>
      <c r="J9" s="112"/>
      <c r="K9" s="82">
        <f>IF(OR(WEEKDAY(A9,2)=6,WEEKDAY(A9,2)=7),0,($L$5/5)/24)</f>
        <v>0.26666666666666666</v>
      </c>
      <c r="L9" s="82"/>
      <c r="M9" s="82"/>
      <c r="N9" s="11" t="str">
        <f>IF(H9-K9=0, "±0:00", IF(H9-K9&gt;0, "+" &amp; TEXT(H9-K9, "[h]:mm"), "-" &amp; TEXT(ABS(H9-K9), "[h]:mm")))</f>
        <v>-6:24</v>
      </c>
      <c r="O9" s="83" t="s">
        <v>63</v>
      </c>
      <c r="P9" s="83"/>
      <c r="Q9" s="84"/>
      <c r="R9" s="12" t="b">
        <v>0</v>
      </c>
    </row>
    <row r="10" spans="1:22">
      <c r="A10" s="23">
        <v>45993</v>
      </c>
      <c r="B10" s="99">
        <v>0.29166666666666669</v>
      </c>
      <c r="C10" s="99"/>
      <c r="D10" s="67">
        <v>0.75</v>
      </c>
      <c r="E10" s="68"/>
      <c r="F10" s="55">
        <v>2.0833333333333332E-2</v>
      </c>
      <c r="G10" s="55"/>
      <c r="H10" s="107">
        <f t="shared" ref="H10:H39" si="0">IF(R10=TRUE, K10, IF(OR(ISBLANK(B10), ISBLANK(D10)), 0, IF(D10&gt;B10, D10-B10-F10, 1-B10+D10-F10)))</f>
        <v>0.4375</v>
      </c>
      <c r="I10" s="55"/>
      <c r="J10" s="108"/>
      <c r="K10" s="55">
        <f t="shared" ref="K10:K39" si="1">IF(OR(WEEKDAY(A10,2)=6,WEEKDAY(A10,2)=7),0,($L$5/5)/24)</f>
        <v>0.26666666666666666</v>
      </c>
      <c r="L10" s="55"/>
      <c r="M10" s="55"/>
      <c r="N10" s="20" t="str">
        <f t="shared" ref="N10:N39" si="2">IF(H10-K10=0, "±0:00", IF(H10-K10&gt;0, "+" &amp; TEXT(H10-K10, "[h]:mm"), "-" &amp; TEXT(ABS(H10-K10), "[h]:mm")))</f>
        <v>+4:06</v>
      </c>
      <c r="O10" s="73"/>
      <c r="P10" s="73"/>
      <c r="Q10" s="74"/>
      <c r="R10" s="21" t="b">
        <v>0</v>
      </c>
    </row>
    <row r="11" spans="1:22">
      <c r="A11" s="24">
        <v>45994</v>
      </c>
      <c r="B11" s="101">
        <v>0.29166666666666702</v>
      </c>
      <c r="C11" s="101"/>
      <c r="D11" s="65">
        <v>0.625</v>
      </c>
      <c r="E11" s="66"/>
      <c r="F11" s="79">
        <v>3.4722222222222224E-2</v>
      </c>
      <c r="G11" s="79"/>
      <c r="H11" s="105">
        <f t="shared" si="0"/>
        <v>0.29861111111111077</v>
      </c>
      <c r="I11" s="79"/>
      <c r="J11" s="106"/>
      <c r="K11" s="79">
        <f t="shared" si="1"/>
        <v>0.26666666666666666</v>
      </c>
      <c r="L11" s="79"/>
      <c r="M11" s="79"/>
      <c r="N11" s="13" t="str">
        <f t="shared" si="2"/>
        <v>+0:46</v>
      </c>
      <c r="O11" s="71" t="s">
        <v>60</v>
      </c>
      <c r="P11" s="71"/>
      <c r="Q11" s="72"/>
      <c r="R11" s="14" t="b">
        <v>0</v>
      </c>
    </row>
    <row r="12" spans="1:22">
      <c r="A12" s="23">
        <v>45995</v>
      </c>
      <c r="B12" s="99">
        <v>0.29166666666666702</v>
      </c>
      <c r="C12" s="99"/>
      <c r="D12" s="67">
        <v>0.625</v>
      </c>
      <c r="E12" s="68"/>
      <c r="F12" s="55">
        <v>2.0833333333333332E-2</v>
      </c>
      <c r="G12" s="55"/>
      <c r="H12" s="107">
        <f t="shared" si="0"/>
        <v>0.31249999999999967</v>
      </c>
      <c r="I12" s="55"/>
      <c r="J12" s="108"/>
      <c r="K12" s="55">
        <f t="shared" si="1"/>
        <v>0.26666666666666666</v>
      </c>
      <c r="L12" s="55"/>
      <c r="M12" s="55"/>
      <c r="N12" s="20" t="str">
        <f t="shared" si="2"/>
        <v>+1:06</v>
      </c>
      <c r="O12" s="73"/>
      <c r="P12" s="73"/>
      <c r="Q12" s="74"/>
      <c r="R12" s="21" t="b">
        <v>0</v>
      </c>
    </row>
    <row r="13" spans="1:22">
      <c r="A13" s="24">
        <v>45996</v>
      </c>
      <c r="B13" s="101">
        <v>0.29166666666666702</v>
      </c>
      <c r="C13" s="101"/>
      <c r="D13" s="65">
        <v>0.5</v>
      </c>
      <c r="E13" s="66"/>
      <c r="F13" s="79"/>
      <c r="G13" s="79"/>
      <c r="H13" s="105">
        <f t="shared" si="0"/>
        <v>0.20833333333333298</v>
      </c>
      <c r="I13" s="79"/>
      <c r="J13" s="106"/>
      <c r="K13" s="79">
        <f t="shared" si="1"/>
        <v>0.26666666666666666</v>
      </c>
      <c r="L13" s="79"/>
      <c r="M13" s="79"/>
      <c r="N13" s="13" t="str">
        <f t="shared" si="2"/>
        <v>-1:24</v>
      </c>
      <c r="O13" s="71"/>
      <c r="P13" s="71"/>
      <c r="Q13" s="72"/>
      <c r="R13" s="14" t="b">
        <v>0</v>
      </c>
    </row>
    <row r="14" spans="1:22">
      <c r="A14" s="23">
        <v>45997</v>
      </c>
      <c r="B14" s="99"/>
      <c r="C14" s="99"/>
      <c r="D14" s="67"/>
      <c r="E14" s="68"/>
      <c r="F14" s="55"/>
      <c r="G14" s="55"/>
      <c r="H14" s="107"/>
      <c r="I14" s="55"/>
      <c r="J14" s="108"/>
      <c r="K14" s="55"/>
      <c r="L14" s="55"/>
      <c r="M14" s="55"/>
      <c r="N14" s="20" t="str">
        <f t="shared" si="2"/>
        <v>±0:00</v>
      </c>
      <c r="O14" s="73" t="s">
        <v>15</v>
      </c>
      <c r="P14" s="73"/>
      <c r="Q14" s="74"/>
      <c r="R14" s="21" t="b">
        <v>0</v>
      </c>
    </row>
    <row r="15" spans="1:22">
      <c r="A15" s="24">
        <v>45998</v>
      </c>
      <c r="B15" s="101"/>
      <c r="C15" s="101"/>
      <c r="D15" s="65"/>
      <c r="E15" s="66"/>
      <c r="F15" s="79"/>
      <c r="G15" s="79"/>
      <c r="H15" s="105"/>
      <c r="I15" s="79"/>
      <c r="J15" s="106"/>
      <c r="K15" s="79"/>
      <c r="L15" s="79"/>
      <c r="M15" s="79"/>
      <c r="N15" s="13" t="str">
        <f t="shared" si="2"/>
        <v>±0:00</v>
      </c>
      <c r="O15" s="71" t="s">
        <v>15</v>
      </c>
      <c r="P15" s="71"/>
      <c r="Q15" s="72"/>
      <c r="R15" s="14" t="b">
        <v>0</v>
      </c>
    </row>
    <row r="16" spans="1:22">
      <c r="A16" s="23">
        <v>45999</v>
      </c>
      <c r="B16" s="99">
        <v>0.29166666666666702</v>
      </c>
      <c r="C16" s="99"/>
      <c r="D16" s="67">
        <v>0.63194444444444442</v>
      </c>
      <c r="E16" s="68"/>
      <c r="F16" s="55">
        <v>2.0833333333333332E-2</v>
      </c>
      <c r="G16" s="55"/>
      <c r="H16" s="107">
        <f t="shared" si="0"/>
        <v>0.31944444444444409</v>
      </c>
      <c r="I16" s="55"/>
      <c r="J16" s="108"/>
      <c r="K16" s="55">
        <f t="shared" si="1"/>
        <v>0.26666666666666666</v>
      </c>
      <c r="L16" s="55"/>
      <c r="M16" s="55"/>
      <c r="N16" s="20" t="str">
        <f t="shared" si="2"/>
        <v>+1:16</v>
      </c>
      <c r="O16" s="73"/>
      <c r="P16" s="73"/>
      <c r="Q16" s="74"/>
      <c r="R16" s="21" t="b">
        <v>0</v>
      </c>
    </row>
    <row r="17" spans="1:18">
      <c r="A17" s="24">
        <v>46000</v>
      </c>
      <c r="B17" s="101">
        <v>0.29166666666666702</v>
      </c>
      <c r="C17" s="101"/>
      <c r="D17" s="65">
        <v>0.75</v>
      </c>
      <c r="E17" s="66"/>
      <c r="F17" s="79">
        <v>7.2916666666666671E-2</v>
      </c>
      <c r="G17" s="79"/>
      <c r="H17" s="105">
        <f t="shared" si="0"/>
        <v>0.3854166666666663</v>
      </c>
      <c r="I17" s="79"/>
      <c r="J17" s="106"/>
      <c r="K17" s="79">
        <f t="shared" si="1"/>
        <v>0.26666666666666666</v>
      </c>
      <c r="L17" s="79"/>
      <c r="M17" s="79"/>
      <c r="N17" s="13" t="str">
        <f t="shared" si="2"/>
        <v>+2:51</v>
      </c>
      <c r="O17" s="71" t="s">
        <v>61</v>
      </c>
      <c r="P17" s="71"/>
      <c r="Q17" s="72"/>
      <c r="R17" s="14" t="b">
        <v>0</v>
      </c>
    </row>
    <row r="18" spans="1:18">
      <c r="A18" s="23">
        <v>46001</v>
      </c>
      <c r="B18" s="99">
        <v>0.29166666666666702</v>
      </c>
      <c r="C18" s="99"/>
      <c r="D18" s="67">
        <v>0.625</v>
      </c>
      <c r="E18" s="68"/>
      <c r="F18" s="55">
        <v>5.2083333333333336E-2</v>
      </c>
      <c r="G18" s="55"/>
      <c r="H18" s="107">
        <f t="shared" si="0"/>
        <v>0.28124999999999967</v>
      </c>
      <c r="I18" s="55"/>
      <c r="J18" s="108"/>
      <c r="K18" s="55">
        <f t="shared" si="1"/>
        <v>0.26666666666666666</v>
      </c>
      <c r="L18" s="55"/>
      <c r="M18" s="55"/>
      <c r="N18" s="20" t="str">
        <f t="shared" si="2"/>
        <v>+0:21</v>
      </c>
      <c r="O18" s="73" t="s">
        <v>62</v>
      </c>
      <c r="P18" s="73"/>
      <c r="Q18" s="74"/>
      <c r="R18" s="21" t="b">
        <v>0</v>
      </c>
    </row>
    <row r="19" spans="1:18">
      <c r="A19" s="24">
        <v>46002</v>
      </c>
      <c r="B19" s="101">
        <v>0.28819444444444442</v>
      </c>
      <c r="C19" s="101"/>
      <c r="D19" s="65">
        <v>0.61458333333333337</v>
      </c>
      <c r="E19" s="66"/>
      <c r="F19" s="79">
        <v>3.125E-2</v>
      </c>
      <c r="G19" s="79"/>
      <c r="H19" s="105">
        <f t="shared" si="0"/>
        <v>0.29513888888888895</v>
      </c>
      <c r="I19" s="79"/>
      <c r="J19" s="106"/>
      <c r="K19" s="79">
        <f t="shared" si="1"/>
        <v>0.26666666666666666</v>
      </c>
      <c r="L19" s="79"/>
      <c r="M19" s="79"/>
      <c r="N19" s="13" t="str">
        <f t="shared" si="2"/>
        <v>+0:41</v>
      </c>
      <c r="O19" s="71" t="s">
        <v>60</v>
      </c>
      <c r="P19" s="71"/>
      <c r="Q19" s="72"/>
      <c r="R19" s="14" t="b">
        <v>0</v>
      </c>
    </row>
    <row r="20" spans="1:18">
      <c r="A20" s="23">
        <v>46003</v>
      </c>
      <c r="B20" s="99">
        <v>0.28819444444444442</v>
      </c>
      <c r="C20" s="99"/>
      <c r="D20" s="67">
        <v>0.5</v>
      </c>
      <c r="E20" s="68"/>
      <c r="F20" s="55"/>
      <c r="G20" s="55"/>
      <c r="H20" s="107">
        <f t="shared" si="0"/>
        <v>0.21180555555555558</v>
      </c>
      <c r="I20" s="55"/>
      <c r="J20" s="108"/>
      <c r="K20" s="55">
        <f t="shared" si="1"/>
        <v>0.26666666666666666</v>
      </c>
      <c r="L20" s="55"/>
      <c r="M20" s="55"/>
      <c r="N20" s="20" t="str">
        <f t="shared" si="2"/>
        <v>-1:19</v>
      </c>
      <c r="O20" s="73"/>
      <c r="P20" s="73"/>
      <c r="Q20" s="74"/>
      <c r="R20" s="21" t="b">
        <v>0</v>
      </c>
    </row>
    <row r="21" spans="1:18">
      <c r="A21" s="24">
        <v>46004</v>
      </c>
      <c r="B21" s="101"/>
      <c r="C21" s="101"/>
      <c r="D21" s="65"/>
      <c r="E21" s="66"/>
      <c r="F21" s="79"/>
      <c r="G21" s="79"/>
      <c r="H21" s="105"/>
      <c r="I21" s="79"/>
      <c r="J21" s="106"/>
      <c r="K21" s="79"/>
      <c r="L21" s="79"/>
      <c r="M21" s="79"/>
      <c r="N21" s="13" t="str">
        <f t="shared" si="2"/>
        <v>±0:00</v>
      </c>
      <c r="O21" s="71" t="s">
        <v>15</v>
      </c>
      <c r="P21" s="71"/>
      <c r="Q21" s="72"/>
      <c r="R21" s="14" t="b">
        <v>0</v>
      </c>
    </row>
    <row r="22" spans="1:18">
      <c r="A22" s="23">
        <v>46005</v>
      </c>
      <c r="B22" s="99"/>
      <c r="C22" s="99"/>
      <c r="D22" s="67"/>
      <c r="E22" s="68"/>
      <c r="F22" s="55"/>
      <c r="G22" s="55"/>
      <c r="H22" s="107"/>
      <c r="I22" s="55"/>
      <c r="J22" s="108"/>
      <c r="K22" s="55"/>
      <c r="L22" s="55"/>
      <c r="M22" s="55"/>
      <c r="N22" s="20" t="str">
        <f t="shared" si="2"/>
        <v>±0:00</v>
      </c>
      <c r="O22" s="73" t="s">
        <v>15</v>
      </c>
      <c r="P22" s="73"/>
      <c r="Q22" s="74"/>
      <c r="R22" s="21" t="b">
        <v>0</v>
      </c>
    </row>
    <row r="23" spans="1:18">
      <c r="A23" s="24">
        <v>46006</v>
      </c>
      <c r="B23" s="101"/>
      <c r="C23" s="101"/>
      <c r="D23" s="65"/>
      <c r="E23" s="66"/>
      <c r="F23" s="79"/>
      <c r="G23" s="79"/>
      <c r="H23" s="105">
        <f t="shared" si="0"/>
        <v>0.26666666666666666</v>
      </c>
      <c r="I23" s="79"/>
      <c r="J23" s="106"/>
      <c r="K23" s="79">
        <f t="shared" si="1"/>
        <v>0.26666666666666666</v>
      </c>
      <c r="L23" s="79"/>
      <c r="M23" s="79"/>
      <c r="N23" s="13" t="str">
        <f t="shared" si="2"/>
        <v>±0:00</v>
      </c>
      <c r="O23" s="71"/>
      <c r="P23" s="71"/>
      <c r="Q23" s="72"/>
      <c r="R23" s="14" t="b">
        <v>1</v>
      </c>
    </row>
    <row r="24" spans="1:18">
      <c r="A24" s="23">
        <v>46007</v>
      </c>
      <c r="B24" s="99"/>
      <c r="C24" s="99"/>
      <c r="D24" s="67"/>
      <c r="E24" s="68"/>
      <c r="F24" s="55"/>
      <c r="G24" s="55"/>
      <c r="H24" s="107">
        <f t="shared" si="0"/>
        <v>0</v>
      </c>
      <c r="I24" s="55"/>
      <c r="J24" s="108"/>
      <c r="K24" s="55">
        <f t="shared" si="1"/>
        <v>0.26666666666666666</v>
      </c>
      <c r="L24" s="55"/>
      <c r="M24" s="55"/>
      <c r="N24" s="20" t="str">
        <f t="shared" si="2"/>
        <v>-6:24</v>
      </c>
      <c r="O24" s="73" t="s">
        <v>23</v>
      </c>
      <c r="P24" s="73"/>
      <c r="Q24" s="74"/>
      <c r="R24" s="21" t="b">
        <v>0</v>
      </c>
    </row>
    <row r="25" spans="1:18">
      <c r="A25" s="24">
        <v>46008</v>
      </c>
      <c r="B25" s="101">
        <v>0.29166666666666702</v>
      </c>
      <c r="C25" s="101"/>
      <c r="D25" s="65">
        <v>0.60416666666666663</v>
      </c>
      <c r="E25" s="66"/>
      <c r="F25" s="79">
        <v>2.0833333333333332E-2</v>
      </c>
      <c r="G25" s="79"/>
      <c r="H25" s="105">
        <f t="shared" si="0"/>
        <v>0.2916666666666663</v>
      </c>
      <c r="I25" s="79"/>
      <c r="J25" s="106"/>
      <c r="K25" s="79">
        <f t="shared" si="1"/>
        <v>0.26666666666666666</v>
      </c>
      <c r="L25" s="79"/>
      <c r="M25" s="79"/>
      <c r="N25" s="13" t="str">
        <f t="shared" si="2"/>
        <v>+0:36</v>
      </c>
      <c r="O25" s="71"/>
      <c r="P25" s="71"/>
      <c r="Q25" s="72"/>
      <c r="R25" s="14" t="b">
        <v>0</v>
      </c>
    </row>
    <row r="26" spans="1:18">
      <c r="A26" s="23">
        <v>46009</v>
      </c>
      <c r="B26" s="99">
        <v>0.28472222222222221</v>
      </c>
      <c r="C26" s="99"/>
      <c r="D26" s="67">
        <v>0.625</v>
      </c>
      <c r="E26" s="68"/>
      <c r="F26" s="55">
        <v>2.0833333333333332E-2</v>
      </c>
      <c r="G26" s="55"/>
      <c r="H26" s="107">
        <f t="shared" si="0"/>
        <v>0.31944444444444448</v>
      </c>
      <c r="I26" s="55"/>
      <c r="J26" s="108"/>
      <c r="K26" s="55">
        <f t="shared" si="1"/>
        <v>0.26666666666666666</v>
      </c>
      <c r="L26" s="55"/>
      <c r="M26" s="55"/>
      <c r="N26" s="20" t="str">
        <f t="shared" si="2"/>
        <v>+1:16</v>
      </c>
      <c r="O26" s="73"/>
      <c r="P26" s="73"/>
      <c r="Q26" s="74"/>
      <c r="R26" s="21" t="b">
        <v>0</v>
      </c>
    </row>
    <row r="27" spans="1:18">
      <c r="A27" s="24">
        <v>46010</v>
      </c>
      <c r="B27" s="101">
        <v>0.28819444444444442</v>
      </c>
      <c r="C27" s="101"/>
      <c r="D27" s="65">
        <v>0.51041666666666663</v>
      </c>
      <c r="E27" s="66"/>
      <c r="F27" s="79"/>
      <c r="G27" s="79"/>
      <c r="H27" s="105">
        <f t="shared" si="0"/>
        <v>0.22222222222222221</v>
      </c>
      <c r="I27" s="79"/>
      <c r="J27" s="106"/>
      <c r="K27" s="79">
        <f t="shared" si="1"/>
        <v>0.26666666666666666</v>
      </c>
      <c r="L27" s="79"/>
      <c r="M27" s="79"/>
      <c r="N27" s="13" t="str">
        <f t="shared" si="2"/>
        <v>-1:04</v>
      </c>
      <c r="O27" s="71"/>
      <c r="P27" s="71"/>
      <c r="Q27" s="72"/>
      <c r="R27" s="14" t="b">
        <v>0</v>
      </c>
    </row>
    <row r="28" spans="1:18">
      <c r="A28" s="23">
        <v>46011</v>
      </c>
      <c r="B28" s="99"/>
      <c r="C28" s="99"/>
      <c r="D28" s="67"/>
      <c r="E28" s="68"/>
      <c r="F28" s="55"/>
      <c r="G28" s="55"/>
      <c r="H28" s="107"/>
      <c r="I28" s="55"/>
      <c r="J28" s="108"/>
      <c r="K28" s="55"/>
      <c r="L28" s="55"/>
      <c r="M28" s="55"/>
      <c r="N28" s="20" t="str">
        <f t="shared" si="2"/>
        <v>±0:00</v>
      </c>
      <c r="O28" s="73" t="s">
        <v>15</v>
      </c>
      <c r="P28" s="73"/>
      <c r="Q28" s="74"/>
      <c r="R28" s="21" t="b">
        <v>0</v>
      </c>
    </row>
    <row r="29" spans="1:18">
      <c r="A29" s="24">
        <v>46012</v>
      </c>
      <c r="B29" s="101"/>
      <c r="C29" s="101"/>
      <c r="D29" s="65"/>
      <c r="E29" s="66"/>
      <c r="F29" s="79"/>
      <c r="G29" s="79"/>
      <c r="H29" s="105"/>
      <c r="I29" s="79"/>
      <c r="J29" s="106"/>
      <c r="K29" s="79"/>
      <c r="L29" s="79"/>
      <c r="M29" s="79"/>
      <c r="N29" s="13" t="str">
        <f t="shared" si="2"/>
        <v>±0:00</v>
      </c>
      <c r="O29" s="71" t="s">
        <v>15</v>
      </c>
      <c r="P29" s="71"/>
      <c r="Q29" s="72"/>
      <c r="R29" s="14" t="b">
        <v>0</v>
      </c>
    </row>
    <row r="30" spans="1:18">
      <c r="A30" s="23">
        <v>46013</v>
      </c>
      <c r="B30" s="99">
        <v>0.28819444444444442</v>
      </c>
      <c r="C30" s="99"/>
      <c r="D30" s="67">
        <v>0.66666666666666663</v>
      </c>
      <c r="E30" s="68"/>
      <c r="F30" s="55">
        <v>2.0833333333333332E-2</v>
      </c>
      <c r="G30" s="55"/>
      <c r="H30" s="107">
        <f t="shared" si="0"/>
        <v>0.3576388888888889</v>
      </c>
      <c r="I30" s="55"/>
      <c r="J30" s="108"/>
      <c r="K30" s="55">
        <f t="shared" si="1"/>
        <v>0.26666666666666666</v>
      </c>
      <c r="L30" s="55"/>
      <c r="M30" s="55"/>
      <c r="N30" s="20" t="str">
        <f t="shared" si="2"/>
        <v>+2:11</v>
      </c>
      <c r="O30" s="73"/>
      <c r="P30" s="73"/>
      <c r="Q30" s="74"/>
      <c r="R30" s="21" t="b">
        <v>0</v>
      </c>
    </row>
    <row r="31" spans="1:18">
      <c r="A31" s="24">
        <v>46014</v>
      </c>
      <c r="B31" s="101">
        <v>0.29166666666666702</v>
      </c>
      <c r="C31" s="101"/>
      <c r="D31" s="65">
        <v>0.75</v>
      </c>
      <c r="E31" s="66"/>
      <c r="F31" s="79">
        <v>3.125E-2</v>
      </c>
      <c r="G31" s="79"/>
      <c r="H31" s="105">
        <f t="shared" si="0"/>
        <v>0.42708333333333298</v>
      </c>
      <c r="I31" s="79"/>
      <c r="J31" s="106"/>
      <c r="K31" s="79">
        <f t="shared" si="1"/>
        <v>0.26666666666666666</v>
      </c>
      <c r="L31" s="79"/>
      <c r="M31" s="79"/>
      <c r="N31" s="13" t="str">
        <f t="shared" si="2"/>
        <v>+3:51</v>
      </c>
      <c r="O31" s="71"/>
      <c r="P31" s="71"/>
      <c r="Q31" s="72"/>
      <c r="R31" s="14" t="b">
        <v>0</v>
      </c>
    </row>
    <row r="32" spans="1:18">
      <c r="A32" s="23">
        <v>46015</v>
      </c>
      <c r="B32" s="99"/>
      <c r="C32" s="99"/>
      <c r="D32" s="67"/>
      <c r="E32" s="68"/>
      <c r="F32" s="55"/>
      <c r="G32" s="55"/>
      <c r="H32" s="107">
        <f t="shared" si="0"/>
        <v>0.26666666666666666</v>
      </c>
      <c r="I32" s="55"/>
      <c r="J32" s="108"/>
      <c r="K32" s="55">
        <f t="shared" si="1"/>
        <v>0.26666666666666666</v>
      </c>
      <c r="L32" s="55"/>
      <c r="M32" s="55"/>
      <c r="N32" s="20" t="str">
        <f t="shared" si="2"/>
        <v>±0:00</v>
      </c>
      <c r="O32" s="73" t="s">
        <v>48</v>
      </c>
      <c r="P32" s="73"/>
      <c r="Q32" s="74"/>
      <c r="R32" s="21" t="b">
        <v>1</v>
      </c>
    </row>
    <row r="33" spans="1:18">
      <c r="A33" s="24">
        <v>46016</v>
      </c>
      <c r="B33" s="101"/>
      <c r="C33" s="101"/>
      <c r="D33" s="65"/>
      <c r="E33" s="66"/>
      <c r="F33" s="79"/>
      <c r="G33" s="79"/>
      <c r="H33" s="105">
        <f t="shared" si="0"/>
        <v>0.26666666666666666</v>
      </c>
      <c r="I33" s="79"/>
      <c r="J33" s="106"/>
      <c r="K33" s="79">
        <f t="shared" si="1"/>
        <v>0.26666666666666666</v>
      </c>
      <c r="L33" s="79"/>
      <c r="M33" s="79"/>
      <c r="N33" s="13" t="str">
        <f t="shared" si="2"/>
        <v>±0:00</v>
      </c>
      <c r="O33" s="71" t="s">
        <v>48</v>
      </c>
      <c r="P33" s="71"/>
      <c r="Q33" s="72"/>
      <c r="R33" s="14" t="b">
        <v>1</v>
      </c>
    </row>
    <row r="34" spans="1:18">
      <c r="A34" s="23">
        <v>46017</v>
      </c>
      <c r="B34" s="99"/>
      <c r="C34" s="99"/>
      <c r="D34" s="67"/>
      <c r="E34" s="68"/>
      <c r="F34" s="55"/>
      <c r="G34" s="55"/>
      <c r="H34" s="107">
        <f t="shared" si="0"/>
        <v>0.26666666666666666</v>
      </c>
      <c r="I34" s="55"/>
      <c r="J34" s="108"/>
      <c r="K34" s="55">
        <f t="shared" si="1"/>
        <v>0.26666666666666666</v>
      </c>
      <c r="L34" s="55"/>
      <c r="M34" s="55"/>
      <c r="N34" s="20" t="str">
        <f t="shared" si="2"/>
        <v>±0:00</v>
      </c>
      <c r="O34" s="73" t="s">
        <v>48</v>
      </c>
      <c r="P34" s="73"/>
      <c r="Q34" s="74"/>
      <c r="R34" s="21" t="b">
        <v>1</v>
      </c>
    </row>
    <row r="35" spans="1:18">
      <c r="A35" s="24">
        <v>46018</v>
      </c>
      <c r="B35" s="101"/>
      <c r="C35" s="101"/>
      <c r="D35" s="65"/>
      <c r="E35" s="66"/>
      <c r="F35" s="79"/>
      <c r="G35" s="79"/>
      <c r="H35" s="105"/>
      <c r="I35" s="79"/>
      <c r="J35" s="106"/>
      <c r="K35" s="79"/>
      <c r="L35" s="79"/>
      <c r="M35" s="79"/>
      <c r="N35" s="13" t="str">
        <f t="shared" si="2"/>
        <v>±0:00</v>
      </c>
      <c r="O35" s="71" t="s">
        <v>15</v>
      </c>
      <c r="P35" s="71"/>
      <c r="Q35" s="72"/>
      <c r="R35" s="14" t="b">
        <v>0</v>
      </c>
    </row>
    <row r="36" spans="1:18">
      <c r="A36" s="23">
        <v>46019</v>
      </c>
      <c r="B36" s="99"/>
      <c r="C36" s="99"/>
      <c r="D36" s="67"/>
      <c r="E36" s="68"/>
      <c r="F36" s="55"/>
      <c r="G36" s="55"/>
      <c r="H36" s="107"/>
      <c r="I36" s="55"/>
      <c r="J36" s="108"/>
      <c r="K36" s="55"/>
      <c r="L36" s="55"/>
      <c r="M36" s="55"/>
      <c r="N36" s="20" t="str">
        <f t="shared" si="2"/>
        <v>±0:00</v>
      </c>
      <c r="O36" s="73" t="s">
        <v>15</v>
      </c>
      <c r="P36" s="73"/>
      <c r="Q36" s="74"/>
      <c r="R36" s="21" t="b">
        <v>0</v>
      </c>
    </row>
    <row r="37" spans="1:18">
      <c r="A37" s="24">
        <v>46020</v>
      </c>
      <c r="B37" s="101"/>
      <c r="C37" s="101"/>
      <c r="D37" s="65"/>
      <c r="E37" s="66"/>
      <c r="F37" s="79"/>
      <c r="G37" s="79"/>
      <c r="H37" s="105">
        <f t="shared" si="0"/>
        <v>0.26666666666666666</v>
      </c>
      <c r="I37" s="79"/>
      <c r="J37" s="106"/>
      <c r="K37" s="79">
        <f t="shared" si="1"/>
        <v>0.26666666666666666</v>
      </c>
      <c r="L37" s="79"/>
      <c r="M37" s="79"/>
      <c r="N37" s="13" t="str">
        <f t="shared" si="2"/>
        <v>±0:00</v>
      </c>
      <c r="O37" s="71"/>
      <c r="P37" s="71"/>
      <c r="Q37" s="72"/>
      <c r="R37" s="14" t="b">
        <v>1</v>
      </c>
    </row>
    <row r="38" spans="1:18">
      <c r="A38" s="23">
        <v>46021</v>
      </c>
      <c r="B38" s="99"/>
      <c r="C38" s="99"/>
      <c r="D38" s="67"/>
      <c r="E38" s="68"/>
      <c r="F38" s="55"/>
      <c r="G38" s="55"/>
      <c r="H38" s="107">
        <f t="shared" si="0"/>
        <v>0.26666666666666666</v>
      </c>
      <c r="I38" s="55"/>
      <c r="J38" s="108"/>
      <c r="K38" s="55">
        <f t="shared" si="1"/>
        <v>0.26666666666666666</v>
      </c>
      <c r="L38" s="55"/>
      <c r="M38" s="55"/>
      <c r="N38" s="20" t="str">
        <f t="shared" si="2"/>
        <v>±0:00</v>
      </c>
      <c r="O38" s="73"/>
      <c r="P38" s="73"/>
      <c r="Q38" s="74"/>
      <c r="R38" s="21" t="b">
        <v>1</v>
      </c>
    </row>
    <row r="39" spans="1:18" ht="16.2" thickBot="1">
      <c r="A39" s="25">
        <v>46022</v>
      </c>
      <c r="B39" s="100"/>
      <c r="C39" s="100"/>
      <c r="D39" s="69"/>
      <c r="E39" s="70"/>
      <c r="F39" s="56"/>
      <c r="G39" s="56"/>
      <c r="H39" s="109">
        <f t="shared" si="0"/>
        <v>0.26666666666666666</v>
      </c>
      <c r="I39" s="56"/>
      <c r="J39" s="110"/>
      <c r="K39" s="56">
        <f t="shared" si="1"/>
        <v>0.26666666666666666</v>
      </c>
      <c r="L39" s="56"/>
      <c r="M39" s="56"/>
      <c r="N39" s="17" t="str">
        <f t="shared" si="2"/>
        <v>±0:00</v>
      </c>
      <c r="O39" s="97" t="s">
        <v>48</v>
      </c>
      <c r="P39" s="97"/>
      <c r="Q39" s="98"/>
      <c r="R39" s="18" t="b">
        <v>1</v>
      </c>
    </row>
    <row r="40" spans="1:18">
      <c r="A40" s="127" t="s">
        <v>20</v>
      </c>
      <c r="B40" s="28"/>
      <c r="C40" s="28"/>
      <c r="D40" s="28"/>
      <c r="E40" s="28"/>
      <c r="F40" s="29"/>
      <c r="G40" s="30"/>
      <c r="H40" s="34">
        <f>SUM(H9:J39)</f>
        <v>6.2347222222222198</v>
      </c>
      <c r="I40" s="35"/>
      <c r="J40" s="36"/>
      <c r="K40" s="40">
        <f>SUM(K9:M39)</f>
        <v>6.1333333333333329</v>
      </c>
      <c r="L40" s="41"/>
      <c r="M40" s="42"/>
    </row>
    <row r="41" spans="1:18" ht="16.2" thickBot="1">
      <c r="A41" s="31"/>
      <c r="B41" s="32"/>
      <c r="C41" s="32"/>
      <c r="D41" s="32"/>
      <c r="E41" s="32"/>
      <c r="F41" s="32"/>
      <c r="G41" s="33"/>
      <c r="H41" s="37"/>
      <c r="I41" s="38"/>
      <c r="J41" s="39"/>
      <c r="K41" s="37"/>
      <c r="L41" s="38"/>
      <c r="M41" s="39"/>
    </row>
    <row r="42" spans="1:18">
      <c r="A42" s="43" t="s">
        <v>21</v>
      </c>
      <c r="B42" s="44"/>
      <c r="C42" s="44"/>
      <c r="D42" s="44"/>
      <c r="E42" s="44"/>
      <c r="F42" s="44"/>
      <c r="G42" s="45"/>
      <c r="H42" s="49" t="str">
        <f>IF(Q5+H40-K40=0, "±0:00", TEXT(Q5+H40-K40, """+""[h]:mm;""-""[h]:mm"))</f>
        <v>+19:30</v>
      </c>
      <c r="I42" s="50"/>
      <c r="J42" s="51"/>
    </row>
    <row r="43" spans="1:18" ht="16.2" thickBot="1">
      <c r="A43" s="46"/>
      <c r="B43" s="47"/>
      <c r="C43" s="47"/>
      <c r="D43" s="47"/>
      <c r="E43" s="47"/>
      <c r="F43" s="47"/>
      <c r="G43" s="48"/>
      <c r="H43" s="52"/>
      <c r="I43" s="53"/>
      <c r="J43" s="54"/>
    </row>
  </sheetData>
  <mergeCells count="208"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</mergeCells>
  <pageMargins left="0.7" right="0.7" top="0.75" bottom="0.75" header="0.3" footer="0.3"/>
  <pageSetup paperSize="9" scale="6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6</vt:i4>
      </vt:variant>
    </vt:vector>
  </HeadingPairs>
  <TitlesOfParts>
    <vt:vector size="12" baseType="lpstr">
      <vt:lpstr>Juli</vt:lpstr>
      <vt:lpstr>August</vt:lpstr>
      <vt:lpstr>September</vt:lpstr>
      <vt:lpstr>Oktober</vt:lpstr>
      <vt:lpstr>November</vt:lpstr>
      <vt:lpstr>Dezember</vt:lpstr>
      <vt:lpstr>August!Druckbereich</vt:lpstr>
      <vt:lpstr>Dezember!Druckbereich</vt:lpstr>
      <vt:lpstr>Juli!Druckbereich</vt:lpstr>
      <vt:lpstr>November!Druckbereich</vt:lpstr>
      <vt:lpstr>Oktober!Druckbereich</vt:lpstr>
      <vt:lpstr>September!Druckbereich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Tom-Erik Günther</dc:creator>
  <cp:lastModifiedBy>Ulrike Guenther</cp:lastModifiedBy>
  <cp:lastPrinted>2026-01-04T17:39:58Z</cp:lastPrinted>
  <dcterms:created xsi:type="dcterms:W3CDTF">2025-08-15T11:39:12Z</dcterms:created>
  <dcterms:modified xsi:type="dcterms:W3CDTF">2026-01-04T17:40:03Z</dcterms:modified>
</cp:coreProperties>
</file>